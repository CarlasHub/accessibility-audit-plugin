
<file path=[Content_Types].xml><?xml version="1.0" encoding="utf-8"?>
<Types xmlns="http://schemas.openxmlformats.org/package/2006/content-types">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Accessibility Overview" sheetId="1" r:id="rId5"/>
    <sheet state="visible" name="Accessibility Report" sheetId="2" r:id="rId6"/>
    <sheet state="visible" name="Page Inventroy" sheetId="3" r:id="rId7"/>
    <sheet state="visible" name="Image Inventory" sheetId="4" r:id="rId8"/>
    <sheet state="hidden" name="Lookup WCAG 2.2" sheetId="5" r:id="rId9"/>
  </sheets>
  <definedNames>
    <definedName name="WCAGSuccessCriteria">'Lookup WCAG 2.2'!$A$3:$A$93</definedName>
    <definedName name="WCAGUnderstanding">'Lookup WCAG 2.2'!$D$3:$D$93</definedName>
    <definedName name="WCAGSynopsis">'Lookup WCAG 2.2'!$C$3:$C$93</definedName>
    <definedName name="WCAGLookup">'Lookup WCAG 2.2'!$A$3:$D$93</definedName>
    <definedName hidden="1" localSheetId="1" name="_xlnm._FilterDatabase">'Accessibility Report'!$A$1:$AF$3</definedName>
    <definedName hidden="1" localSheetId="4" name="_xlnm._FilterDatabase">'Lookup WCAG 2.2'!$A$1:$D$93</definedName>
  </definedNames>
  <calcPr/>
</workbook>
</file>

<file path=xl/sharedStrings.xml><?xml version="1.0" encoding="utf-8"?>
<sst xmlns="http://schemas.openxmlformats.org/spreadsheetml/2006/main" count="494" uniqueCount="369">
  <si>
    <t>ID</t>
  </si>
  <si>
    <t>SC1</t>
  </si>
  <si>
    <t>Level1</t>
  </si>
  <si>
    <t>Synopsis1</t>
  </si>
  <si>
    <t>Understanding1</t>
  </si>
  <si>
    <t>SC2</t>
  </si>
  <si>
    <t>Level2</t>
  </si>
  <si>
    <t>Synopsis2</t>
  </si>
  <si>
    <t>Understanding2</t>
  </si>
  <si>
    <t>SC3</t>
  </si>
  <si>
    <t>Level3</t>
  </si>
  <si>
    <t>Synopsis3</t>
  </si>
  <si>
    <t>Understanding3</t>
  </si>
  <si>
    <t>Links</t>
  </si>
  <si>
    <t>Summary</t>
  </si>
  <si>
    <t>Environment</t>
  </si>
  <si>
    <t>Issue</t>
  </si>
  <si>
    <t>Testing</t>
  </si>
  <si>
    <t>Screengrab</t>
  </si>
  <si>
    <t>WCAG 2.2 Accessibility Issues Overview (Please note that single issues can fail multiple success criteria)</t>
  </si>
  <si>
    <t>Translation?</t>
  </si>
  <si>
    <t>ProductNote</t>
  </si>
  <si>
    <t>Labels</t>
  </si>
  <si>
    <t>Impact</t>
  </si>
  <si>
    <t>Status</t>
  </si>
  <si>
    <t>Assignment</t>
  </si>
  <si>
    <t>Effort</t>
  </si>
  <si>
    <t>JIRASeverity</t>
  </si>
  <si>
    <t>Specialist</t>
  </si>
  <si>
    <t>Implementation</t>
  </si>
  <si>
    <t>Notes</t>
  </si>
  <si>
    <t>JIRA</t>
  </si>
  <si>
    <t>Estimate</t>
  </si>
  <si>
    <t>A11YEXP001</t>
  </si>
  <si>
    <t>Fail</t>
  </si>
  <si>
    <t>Pass</t>
  </si>
  <si>
    <t>Critical</t>
  </si>
  <si>
    <t>1.1.1: Non-text Content - Level A</t>
  </si>
  <si>
    <t xml:space="preserve"> Success Criteria</t>
  </si>
  <si>
    <t>Serious</t>
  </si>
  <si>
    <t>Moderate</t>
  </si>
  <si>
    <t>Minor</t>
  </si>
  <si>
    <t>A</t>
  </si>
  <si>
    <t xml:space="preserve"> Level</t>
  </si>
  <si>
    <t>AA</t>
  </si>
  <si>
    <t>AAA</t>
  </si>
  <si>
    <t>BP</t>
  </si>
  <si>
    <t xml:space="preserve"> Synopsis</t>
  </si>
  <si>
    <t>Auto</t>
  </si>
  <si>
    <t xml:space="preserve"> Understanding</t>
  </si>
  <si>
    <t>None</t>
  </si>
  <si>
    <t>Total Issues</t>
  </si>
  <si>
    <t>NA</t>
  </si>
  <si>
    <t xml:space="preserve">Ticket URL:   </t>
  </si>
  <si>
    <t>Provide text alternatives for non-text content</t>
  </si>
  <si>
    <t>https://www.w3.org/WAI/WCAG22/Understanding/non-text-content</t>
  </si>
  <si>
    <t>1.2.1: Audio-only and Video-only (Prerecorded) - Level A</t>
  </si>
  <si>
    <t>Provide an alternative to video-only and audio-only content</t>
  </si>
  <si>
    <t>https://www.w3.org/WAI/WCAG22/Understanding/audio-only-and-video-only-prerecorded</t>
  </si>
  <si>
    <t>1.2.2: Captions (Prerecorded) - Level A</t>
  </si>
  <si>
    <t>Provide captions for videos with audio</t>
  </si>
  <si>
    <t>https://www.w3.org/WAI/WCAG22/Understanding/captions-prerecorded</t>
  </si>
  <si>
    <t>4.1.2: Name, Role, Value - Level A</t>
  </si>
  <si>
    <t>1.2.3: Audio Description or Media Alternative (Prerecorded) - Level A</t>
  </si>
  <si>
    <t>Video with audio has a second alternative</t>
  </si>
  <si>
    <t>https://www.w3.org/WAI/WCAG22/Understanding/audio-description-or-media-alternative-prerecorded</t>
  </si>
  <si>
    <t>1.3.1: Info and Relationships - Level A</t>
  </si>
  <si>
    <t xml:space="preserve">Semantic markup is used appropriately. Logical structure, etc. </t>
  </si>
  <si>
    <r>
      <rPr>
        <rFont val="Arial"/>
        <color rgb="FF000000"/>
        <sz val="11.0"/>
      </rPr>
      <t xml:space="preserve"> </t>
    </r>
    <r>
      <rPr>
        <rFont val="Arial"/>
        <color rgb="FF1155CC"/>
        <sz val="11.0"/>
        <u/>
      </rPr>
      <t>https://www.w3.org/WAI/WCAG22/Understanding/info-and-relationships</t>
    </r>
    <r>
      <rPr>
        <rFont val="Arial"/>
        <color rgb="FF000000"/>
        <sz val="11.0"/>
      </rPr>
      <t xml:space="preserve"> </t>
    </r>
  </si>
  <si>
    <t>Automated Scan (AXE)</t>
  </si>
  <si>
    <t>1.3.2: Meaningful Sequence - Level A</t>
  </si>
  <si>
    <t>Present content in a meaningful order</t>
  </si>
  <si>
    <t>https://www.w3.org/WAI/WCAG22/Understanding/meaningful-sequence</t>
  </si>
  <si>
    <t>1.3.3: Sensory Characteristics - Level A</t>
  </si>
  <si>
    <t>Use more than one sense for instructions. Instructions do not rely upon shape, size, visual location or audio</t>
  </si>
  <si>
    <t>https://www.w3.org/WAI/WCAG22/Understanding/sensory-characteristics</t>
  </si>
  <si>
    <r>
      <rPr>
        <rFont val="Arial"/>
        <color rgb="FF0563C1"/>
        <sz val="10.0"/>
        <u/>
      </rPr>
      <t xml:space="preserve">https://referrals.radancy.com/dashboard/jobs/active
</t>
    </r>
    <r>
      <rPr>
        <rFont val="Arial"/>
        <color rgb="FF1155CC"/>
        <sz val="10.0"/>
        <u/>
      </rPr>
      <t>https://referrals.radancy.com/dashboard/jobs/</t>
    </r>
  </si>
  <si>
    <t>1.4.1: Use of Color - Level A</t>
  </si>
  <si>
    <t>Don’t use presentation that relies solely on colour</t>
  </si>
  <si>
    <t>https://www.w3.org/WAI/WCAG22/Understanding/use-of-color</t>
  </si>
  <si>
    <t>1.4.2: Audio Control - Level A</t>
  </si>
  <si>
    <t>Don’t play audio automatically</t>
  </si>
  <si>
    <t>https://www.w3.org/WAI/WCAG22/Understanding/audio-control</t>
  </si>
  <si>
    <t>Global: Company Logo Missing Alt Attribute and Value</t>
  </si>
  <si>
    <t>The client/company logo in the bottom-left navigation is missing an alt text attribute and value. This is an informative image, so it must be described to the user. Alt attributes must always be included, even if they have no value (called a "null" alt), otherwise the image path may be read out to AT, which is undesirable. 
*Before:* 
 {code}&lt;img width="182" height="45" class="sidenav_footer_logo" src="https://api.1brd.com/v1/companies/ce9bf599-f0b4-4a9e-969a-25df747610a9/logo" style="border-radius: 3px;"&gt;{code}
 *After:* 
 {code}&lt;img alt="Radancy Logo" width="182" height="45" class="sidenav_footer_logo" src="https://api.1brd.com/v1/companies/ce9bf599-f0b4-4a9e-969a-25df747610a9/logo" style="border-radius: 3px;"&gt;{code}</t>
  </si>
  <si>
    <t>2.1.1: Keyboard - Level A</t>
  </si>
  <si>
    <t>Accessible by keyboard only</t>
  </si>
  <si>
    <t>https://www.w3.org/WAI/WCAG22/Understanding/keyboard</t>
  </si>
  <si>
    <t xml:space="preserve">Delivery Date:  </t>
  </si>
  <si>
    <r>
      <rPr>
        <rFont val="Arial"/>
        <color rgb="FF0563C1"/>
        <sz val="10.0"/>
        <u/>
      </rPr>
      <t xml:space="preserve">https://fluffy-adventure-o7451v1.pages.github.io/erp/audit/202510/screengrab/A11YERP001.png
</t>
    </r>
    <r>
      <rPr>
        <rFont val="Arial"/>
        <color rgb="FF1155CC"/>
        <sz val="10.0"/>
        <u/>
      </rPr>
      <t>https://fluffy-adventure-o7451v1.pages.github.io/erp/audit/202510/screengrab/A11YERP002.png</t>
    </r>
    <r>
      <rPr>
        <rFont val="Arial"/>
        <color rgb="FF1F1F1F"/>
        <sz val="10.0"/>
      </rPr>
      <t xml:space="preserve"> 
</t>
    </r>
    <r>
      <rPr>
        <rFont val="Arial"/>
        <color rgb="FF1155CC"/>
        <sz val="10.0"/>
        <u/>
      </rPr>
      <t>https://fluffy-adventure-o7451v1.pages.github.io/erp/audit/202510/screengrab/A11YERP003.png</t>
    </r>
    <r>
      <rPr>
        <rFont val="Arial"/>
        <color rgb="FF1F1F1F"/>
        <sz val="10.0"/>
      </rPr>
      <t xml:space="preserve"> </t>
    </r>
  </si>
  <si>
    <t>Severity &amp; Levels by Assignment</t>
  </si>
  <si>
    <t>2.1.2: No Keyboard Trap - Level A</t>
  </si>
  <si>
    <t xml:space="preserve">QA URL:  </t>
  </si>
  <si>
    <t>Don’t trap keyboard users</t>
  </si>
  <si>
    <t>https://www.w3.org/WAI/WCAG22/Understanding/no-keyboard-trap</t>
  </si>
  <si>
    <t xml:space="preserve">Production URL:  </t>
  </si>
  <si>
    <t>2.1.4: Character Key Shortcuts - Level A</t>
  </si>
  <si>
    <t>Ensure custom shortcuts include, or can be made to include, a modifier key.</t>
  </si>
  <si>
    <t>https://www.w3.org/WAI/WCAG22/Understanding/character-key-shortcuts</t>
  </si>
  <si>
    <t xml:space="preserve">Target Guidelines:  </t>
  </si>
  <si>
    <t>WCAG 2.2 AA (Includes Level A)</t>
  </si>
  <si>
    <t>2.2.1: Timing Adjustable - Level A</t>
  </si>
  <si>
    <t>Time limits have user controls</t>
  </si>
  <si>
    <t>https://www.w3.org/WAI/WCAG22/Understanding/timing-adjustable</t>
  </si>
  <si>
    <t xml:space="preserve">Development Support Traffic:  </t>
  </si>
  <si>
    <t>2.2.2: Pause, Stop, Hide - Level A</t>
  </si>
  <si>
    <t>Provide user controls for moving content</t>
  </si>
  <si>
    <t>https://www.w3.org/WAI/WCAG22/Understanding/pause-stop-hide</t>
  </si>
  <si>
    <t>2.3.1: Three Flashes or Below Threshold - Level A</t>
  </si>
  <si>
    <t>No content flashes more than three times per second</t>
  </si>
  <si>
    <t>https://www.w3.org/WAI/WCAG22/Understanding/three-flashes-or-below-threshold</t>
  </si>
  <si>
    <t>Third-Party Issue (YouTube, ATS, etc.)</t>
  </si>
  <si>
    <t>2.4.1: Bypass Blocks - Level A</t>
  </si>
  <si>
    <t>Provide a ‘Skip to Content’ link</t>
  </si>
  <si>
    <t>https://www.w3.org/WAI/WCAG22/Understanding/bypass-blocks</t>
  </si>
  <si>
    <t>Easy</t>
  </si>
  <si>
    <t>2.4.2: Page Titled - Level A</t>
  </si>
  <si>
    <t>Use helpful and clear page titles</t>
  </si>
  <si>
    <t>https://www.w3.org/WAI/WCAG22/Understanding/page-titled</t>
  </si>
  <si>
    <t>2.4.3: Focus Order - Level A</t>
  </si>
  <si>
    <t>Logical order</t>
  </si>
  <si>
    <t>https://www.w3.org/WAI/WCAG22/Understanding/focus-order</t>
  </si>
  <si>
    <t>2.4.4: Link Purpose (In Context) - Level A</t>
  </si>
  <si>
    <t>Every link’s purpose is clear from its context</t>
  </si>
  <si>
    <t>https://www.w3.org/WAI/WCAG22/Understanding/link-purpose-in-context</t>
  </si>
  <si>
    <t>Completed</t>
  </si>
  <si>
    <t>2.5.1: Pointer Gestures - Level A</t>
  </si>
  <si>
    <t>Let users operate touchscreens with a single finger</t>
  </si>
  <si>
    <t>https://www.w3.org/WAI/WCAG22/Understanding/pointer-gestures.html</t>
  </si>
  <si>
    <t>A11YEXP002</t>
  </si>
  <si>
    <t>2.5.2: Pointer Cancellation - Level A</t>
  </si>
  <si>
    <t>Reduce accidental activation of controls by making their operation consistent</t>
  </si>
  <si>
    <t>https://www.w3.org/WAI/WCAG22/Understanding/pointer-cancellation</t>
  </si>
  <si>
    <t>2.5.3: Label In Name - Level A</t>
  </si>
  <si>
    <t>Let the visual label for controls be a trigger for speech activation.</t>
  </si>
  <si>
    <t>https://www.w3.org/WAI/WCAG22/Understanding/label-in-name</t>
  </si>
  <si>
    <t>2.5.4: Motion Actuation - Level A</t>
  </si>
  <si>
    <t>Don’t rely solely on device motion to control page content</t>
  </si>
  <si>
    <t>https://www.w3.org/WAI/WCAG22/Understanding/motion-actuation</t>
  </si>
  <si>
    <t>3.1.1: Language of Page - Level A</t>
  </si>
  <si>
    <t>Page has a language assigned</t>
  </si>
  <si>
    <t>https://www.w3.org/WAI/WCAG22/Understanding/language-of-page</t>
  </si>
  <si>
    <t>3.2.3: Consistent Navigation - Level AA</t>
  </si>
  <si>
    <t>3.2.1: On Focus - Level A</t>
  </si>
  <si>
    <t>Elements do not change when they receive focus</t>
  </si>
  <si>
    <t>https://www.w3.org/WAI/WCAG22/Understanding/on-focus</t>
  </si>
  <si>
    <t>3.2.2: On Input - Level A</t>
  </si>
  <si>
    <t>Elements do not change when they receive input</t>
  </si>
  <si>
    <t>https://www.w3.org/WAI/WCAG22/Understanding/on-input</t>
  </si>
  <si>
    <t>3.2.6: Consistent Help - Level A</t>
  </si>
  <si>
    <t>Put help in the same place when it is on multiple pages.</t>
  </si>
  <si>
    <t>https://www.w3.org/WAI/WCAG22/Understanding/consistent-help</t>
  </si>
  <si>
    <t>https://referrals.radancy.com/dashboard/jobs/active</t>
  </si>
  <si>
    <t>3.3.1: Error Identification - Level A</t>
  </si>
  <si>
    <t>Clearly identify input errors</t>
  </si>
  <si>
    <t>Global: Primary Navigation Not Accessible</t>
  </si>
  <si>
    <t>https://www.w3.org/WAI/WCAG22/Understanding/error-identification</t>
  </si>
  <si>
    <t xml:space="preserve">The navigation is not currently keyboard accessible and does not include any means to convey the state to assisitve technology users. </t>
  </si>
  <si>
    <t>https://fluffy-adventure-o7451v1.pages.github.io/erp/audit/202510/screengrab/A11YERP001.png</t>
  </si>
  <si>
    <t xml:space="preserve">Auditor:  </t>
  </si>
  <si>
    <t>Michael Spellacy (michael.spellacy@radancy.com)</t>
  </si>
  <si>
    <t>3.3.2: Labels or Instructions - Level A</t>
  </si>
  <si>
    <t>Label elements and give instructions</t>
  </si>
  <si>
    <t>https://www.w3.org/WAI/WCAG22/Understanding/labels-or-instructions</t>
  </si>
  <si>
    <t xml:space="preserve">Implementation Queue:  </t>
  </si>
  <si>
    <t>Implementation Queue</t>
  </si>
  <si>
    <t>3.3.7: Redundant Entry - Level A</t>
  </si>
  <si>
    <t>Don't ask for the same information twice in the same session.</t>
  </si>
  <si>
    <t>https://www.w3.org/WAI/WCAG22/Understanding/redundant-entry</t>
  </si>
  <si>
    <t>Medium</t>
  </si>
  <si>
    <t>Ready for Production</t>
  </si>
  <si>
    <t>4.1.1: Parsing (Obsolete in WCAG 2.2, Radancy Best Practice) - Level A</t>
  </si>
  <si>
    <t>No major code errors</t>
  </si>
  <si>
    <t>https://www.w3.org/WAI/WCAG22/Understanding/parsing</t>
  </si>
  <si>
    <t>Build all elements for accessibility</t>
  </si>
  <si>
    <t>https://www.w3.org/WAI/WCAG22/Understanding/name-role-value</t>
  </si>
  <si>
    <t>1.2.4: Captions (Live) - Level AA</t>
  </si>
  <si>
    <t>Live videos have captions</t>
  </si>
  <si>
    <t>https://www.w3.org/WAI/WCAG22/Understanding/captions-live</t>
  </si>
  <si>
    <t>1.2.5: Audio Description (Prerecorded) - Level AA</t>
  </si>
  <si>
    <t>Users have access to audio description for video content</t>
  </si>
  <si>
    <t>https://www.w3.org/WAI/WCAG22/Understanding/audio-description-prerecorded</t>
  </si>
  <si>
    <t>1.3.4: Orientation - Level AA</t>
  </si>
  <si>
    <t>Don’t lock content to either portrait or landscape presentation</t>
  </si>
  <si>
    <t>https://www.w3.org/WAI/WCAG22/Understanding/orientation</t>
  </si>
  <si>
    <t>1.3.5: Identify Input Purpose - Level AA</t>
  </si>
  <si>
    <t xml:space="preserve">Make the meaning of common inputs available via technology
</t>
  </si>
  <si>
    <t>https://www.w3.org/WAI/WCAG22/Understanding/identify-input-purpose</t>
  </si>
  <si>
    <t>1.4.10: Reflow - Level AA</t>
  </si>
  <si>
    <t>Ensure content can be enlarged without requiring horizontal scrolling</t>
  </si>
  <si>
    <t>https://www.w3.org/WAI/WCAG22/Understanding/reflow.html</t>
  </si>
  <si>
    <t>1.4.11: Non-text Contrast - Level AA</t>
  </si>
  <si>
    <t>Ensure important visual information such as graphics and icons meets the same minimum contrast that is required for larger text (3:1)</t>
  </si>
  <si>
    <t>https://www.w3.org/WAI/WCAG22/Understanding/non-text-contrast</t>
  </si>
  <si>
    <t>1.4.12: Text Spacing - Level AA</t>
  </si>
  <si>
    <t>Let users adjust text spacing to make it easier to read</t>
  </si>
  <si>
    <t>https://www.w3.org/WAI/WCAG22/Understanding/text-spacing</t>
  </si>
  <si>
    <t xml:space="preserve">Tools &amp; Testing Methods:  </t>
  </si>
  <si>
    <t>1.4.13: Content on Hover or Focus - Level AA</t>
  </si>
  <si>
    <t>If content can appear or disappear without a user intentionally activating it, design the interaction in such a way that all users can operate it and perceive the content</t>
  </si>
  <si>
    <t>https://www.w3.org/WAI/WCAG22/Understanding/content-on-hover-or-focus</t>
  </si>
  <si>
    <r>
      <rPr>
        <rFont val="Arial"/>
        <color rgb="FF1155CC"/>
        <sz val="11.0"/>
        <u/>
      </rPr>
      <t>https://tmpww.sharepoint.com/sites/delivery/SitePages/Accessibility-Testing-Matrix.aspx</t>
    </r>
    <r>
      <rPr>
        <rFont val="Arial"/>
        <color rgb="FF434343"/>
        <sz val="11.0"/>
      </rPr>
      <t xml:space="preserve"> </t>
    </r>
  </si>
  <si>
    <t>1.4.3: Contrast (Minimum) - Level AA</t>
  </si>
  <si>
    <t>Contrast ratio between text and background is at least 4.5 : 1</t>
  </si>
  <si>
    <t>https://www.w3.org/WAI/WCAG22/Understanding/contrast-minimum</t>
  </si>
  <si>
    <t>1.4.4: Resize text - Level AA</t>
  </si>
  <si>
    <t>Text can be resized to 200% without loss of content or function</t>
  </si>
  <si>
    <t>https://www.w3.org/WAI/WCAG22/Understanding/resize-text</t>
  </si>
  <si>
    <t>1.4.5: Images of Text - Level AA</t>
  </si>
  <si>
    <t>Don’t use images of text</t>
  </si>
  <si>
    <t>https://www.w3.org/WAI/WCAG22/Understanding/images-of-text</t>
  </si>
  <si>
    <t xml:space="preserve">Accessibility Support:  </t>
  </si>
  <si>
    <t>2.4.11: Focus Not Obscured (Minimum) - Level AA</t>
  </si>
  <si>
    <t>Ensure when an item gets keyboard focus, it is at least partially visible.</t>
  </si>
  <si>
    <t>https://www.w3.org/WAI/WCAG22/Understanding/focus-not-obscured-minimum</t>
  </si>
  <si>
    <t>2.4.5: Multiple Ways - Level AA</t>
  </si>
  <si>
    <t>Offer several ways to find pages</t>
  </si>
  <si>
    <t>https://www.w3.org/WAI/WCAG22/Understanding/multiple-ways</t>
  </si>
  <si>
    <t>2.4.6: Headings and Labels - Level AA</t>
  </si>
  <si>
    <t>Use clear headings and labels</t>
  </si>
  <si>
    <t>https://www.w3.org/WAI/WCAG22/Understanding/headings-and-labels</t>
  </si>
  <si>
    <t>2.4.7: Focus Visible - Level AA</t>
  </si>
  <si>
    <t>Ensure keyboard focus is visible and clear</t>
  </si>
  <si>
    <t>https://www.w3.org/WAI/WCAG22/Understanding/focus-visible</t>
  </si>
  <si>
    <t>2.5.7: Dragging Movements - Level AA</t>
  </si>
  <si>
    <t>For any action that involves dragging, provide a simple pointer alternative.</t>
  </si>
  <si>
    <t>https://www.w3.org/WAI/WCAG22/Understanding/dragging-movements</t>
  </si>
  <si>
    <t>2.5.8: Target Size (Minimum) - Level AA</t>
  </si>
  <si>
    <t>Ensure targets meet a minimum size or have sufficient spacing around them.</t>
  </si>
  <si>
    <t>https://www.w3.org/WAI/WCAG22/Understanding/target-size-minimum.html</t>
  </si>
  <si>
    <t>3.1.2: Language of Parts - Level AA</t>
  </si>
  <si>
    <t>Tell users when the language on a page changes</t>
  </si>
  <si>
    <t>https://www.w3.org/WAI/WCAG22/Understanding/language-of-parts</t>
  </si>
  <si>
    <t>Use menus consistently</t>
  </si>
  <si>
    <t>https://www.w3.org/WAI/WCAG22/Understanding/consistent-navigation</t>
  </si>
  <si>
    <t>3.2.4: Consistent Identification - Level AA</t>
  </si>
  <si>
    <t>Use icons and buttons consistently</t>
  </si>
  <si>
    <t>https://www.w3.org/WAI/WCAG22/Understanding/consistent-identification</t>
  </si>
  <si>
    <t>3.3.3: Error Suggestion - Level AA</t>
  </si>
  <si>
    <t>Suggest fixes when users make errors</t>
  </si>
  <si>
    <t>https://www.w3.org/WAI/WCAG22/Understanding/error-suggestion</t>
  </si>
  <si>
    <t>3.3.4: Error Prevention (Legal, Financial, Data) - Level AA</t>
  </si>
  <si>
    <t>Reduce the risk of input errors for sensitive data</t>
  </si>
  <si>
    <t>https://www.w3.org/WAI/WCAG22/Understanding/error-prevention-legal-financial-data</t>
  </si>
  <si>
    <t xml:space="preserve">Creative Support:  </t>
  </si>
  <si>
    <t>3.3.8: Accessible Authentication (Minimum) - Level AA</t>
  </si>
  <si>
    <t>Don’t make people solve, recall, or transcribe something to log in.</t>
  </si>
  <si>
    <t>https://www.w3.org/WAI/WCAG22/Understanding/accessible-authentication-minimum</t>
  </si>
  <si>
    <t>4.1.3: Status Messages - Level AA</t>
  </si>
  <si>
    <t>Let assistive technologies notify users about changes to the content that don’t take focus</t>
  </si>
  <si>
    <t>https://www.w3.org/WAI/WCAG22/Understanding/status-messages</t>
  </si>
  <si>
    <t>1.2.6: Sign Language (Pre-recorded) - Level AAA</t>
  </si>
  <si>
    <t>A sign language video is provided for all media content that contains audio</t>
  </si>
  <si>
    <t>https://www.w3.org/WAI/WCAG22/Understanding/sign-language-prerecorded</t>
  </si>
  <si>
    <t>1.2.7: Extended Audio description (Pre-recorded) - Level AAA</t>
  </si>
  <si>
    <t>Provide extended audio description for videos</t>
  </si>
  <si>
    <t>https://www.w3.org/WAI/WCAG22/Understanding/extended-audio-description-prerecorded</t>
  </si>
  <si>
    <t>1.2.8: Media Alternative (Pre-recorded) - Level AAA</t>
  </si>
  <si>
    <t>Provide a text alternative to videos</t>
  </si>
  <si>
    <t>https://www.w3.org/WAI/WCAG22/Understanding/media-alternative-prerecorded</t>
  </si>
  <si>
    <t>1.2.9: Audio Only (Live) - Level AAA</t>
  </si>
  <si>
    <t>Provide alternatives for live audio</t>
  </si>
  <si>
    <t>https://www.w3.org/WAI/WCAG22/Understanding/audio-only-live</t>
  </si>
  <si>
    <t>1.3.6: Identify Purpose - Level AAA</t>
  </si>
  <si>
    <t>Make the meaning of all controls (not just inputs) and other key information available via technology</t>
  </si>
  <si>
    <t>https://www.w3.org/WAI/WCAG22/Understanding/identify-purpose</t>
  </si>
  <si>
    <t>1.4.6: Contrast (Enhanced) - Level AAA</t>
  </si>
  <si>
    <t>Contrast ratio between text and background is at least 7:1</t>
  </si>
  <si>
    <t>https://www.w3.org/WAI/WCAG22/Understanding/contrast-enhanced</t>
  </si>
  <si>
    <t>1.4.7: Low or No Background Audio - Level AAA</t>
  </si>
  <si>
    <t>Audio is clear for listeners to hear</t>
  </si>
  <si>
    <t>https://www.w3.org/WAI/WCAG22/Understanding/low-or-no-background-audio</t>
  </si>
  <si>
    <t>1.4.8: Visual Presentation - Level AAA</t>
  </si>
  <si>
    <t>Offer users a range of presentation options</t>
  </si>
  <si>
    <t>https://www.w3.org/WAI/WCAG22/Understanding/visual-presentation</t>
  </si>
  <si>
    <t xml:space="preserve">Product Engineer: </t>
  </si>
  <si>
    <t>1.4.9: Images of Text (No Exception) - Level AAA</t>
  </si>
  <si>
    <t>https://www.w3.org/WAI/WCAG22/Understanding/images-of-text-no-exception</t>
  </si>
  <si>
    <t>2.1.3: Keyboard (No Exception) - Level AAA</t>
  </si>
  <si>
    <t>Accessible by keyboard only, without exception</t>
  </si>
  <si>
    <t>https://www.w3.org/WAI/WCAG22/Understanding/keyboard-no-exception</t>
  </si>
  <si>
    <t>2.2.3: No Timing - Level AAA</t>
  </si>
  <si>
    <t>No time limits</t>
  </si>
  <si>
    <t>https://www.w3.org/WAI/WCAG22/Understanding/no-timing</t>
  </si>
  <si>
    <t>2.2.4: Interruptions - Level AAA</t>
  </si>
  <si>
    <t>Don’t interrupt users</t>
  </si>
  <si>
    <t>https://www.w3.org/WAI/WCAG22/Understanding/interruptions</t>
  </si>
  <si>
    <t>2.2.5: Re-authenticating - Level AAA</t>
  </si>
  <si>
    <t>Save user data when re-authenticating</t>
  </si>
  <si>
    <t>https://www.w3.org/WAI/WCAG22/Understanding/re-authenticating</t>
  </si>
  <si>
    <t>2.2.6: Timeouts - Level AAA</t>
  </si>
  <si>
    <t>Tell users how long they can be inactive before they may lose information</t>
  </si>
  <si>
    <t>https://www.w3.org/WAI/WCAG22/Understanding/timeouts</t>
  </si>
  <si>
    <t>2.3.2: Three Flashes - Level AAA</t>
  </si>
  <si>
    <t>https://www.w3.org/WAI/WCAG22/Understanding/three-flashes</t>
  </si>
  <si>
    <t>2.3.3: Animation from Interactions - Level AAA</t>
  </si>
  <si>
    <t>Allow users to turn off unnecessary motion effects</t>
  </si>
  <si>
    <t>Product Owner</t>
  </si>
  <si>
    <t>https://www.w3.org/WAI/WCAG22/Understanding/animation-from-interactions</t>
  </si>
  <si>
    <t>2.4.10: Section Headings - Level AAA</t>
  </si>
  <si>
    <t>Break up content with headings</t>
  </si>
  <si>
    <t>https://www.w3.org/TR/UNDERSTANDING-WCAG20/navigation-mechanisms-headings</t>
  </si>
  <si>
    <t>2.4.12: Focus Not Obscured (Enhanced) - Level AAA</t>
  </si>
  <si>
    <t>Ensure when an item gets keyboard focus, it is fully visible.</t>
  </si>
  <si>
    <t>https://www.w3.org/WAI/WCAG22/Understanding/focus-not-obscured-enhanced</t>
  </si>
  <si>
    <t>2.4.13: Focus Appearance - Level AAA</t>
  </si>
  <si>
    <t>Use a focus indicator of sufficient size and contrast.</t>
  </si>
  <si>
    <t>https://www.w3.org/WAI/WCAG22/Understanding/focus-appearance</t>
  </si>
  <si>
    <t>2.4.8: Location - Level AAA</t>
  </si>
  <si>
    <t>Let users know where they are</t>
  </si>
  <si>
    <t>https://www.w3.org/WAI/WCAG22/Understanding/location</t>
  </si>
  <si>
    <t>2.4.9: Link Purpose (Link Only) - Level AAA</t>
  </si>
  <si>
    <t>Every link’s purpose is clear from its text</t>
  </si>
  <si>
    <t>https://www.w3.org/WAI/WCAG22/Understanding/link-purpose-link-only</t>
  </si>
  <si>
    <t>2.5.5: Target Size - Level AAA</t>
  </si>
  <si>
    <t>Make controls bigger so they can be operated more easily, especially on touch screens</t>
  </si>
  <si>
    <t>https://www.w3.org/WAI/WCAG22/Understanding/target-size</t>
  </si>
  <si>
    <t>2.5.6: Concurrent Input Mechanisms - Level AAA</t>
  </si>
  <si>
    <t>Don’t prevent users from choosing different ways of inputting content</t>
  </si>
  <si>
    <t>https://www.w3.org/WAI/WCAG22/Understanding/concurrent-input-mechanisms</t>
  </si>
  <si>
    <t>3.1.3: Unusual words - Level AAA</t>
  </si>
  <si>
    <t>Explain any strange words</t>
  </si>
  <si>
    <t>https://www.w3.org/WAI/WCAG22/Understanding/unusual-words</t>
  </si>
  <si>
    <t xml:space="preserve">CSS Support:  </t>
  </si>
  <si>
    <t>3.1.4: Abbreviations - Level AAA</t>
  </si>
  <si>
    <t>Explain any abbreviations</t>
  </si>
  <si>
    <t>https://www.w3.org/WAI/WCAG22/Understanding/abbreviations</t>
  </si>
  <si>
    <t>3.1.5: Reading Level - Level AAA</t>
  </si>
  <si>
    <t>Users with nine years of school can read your content</t>
  </si>
  <si>
    <t>https://www.w3.org/WAI/WCAG22/Understanding/reading-level</t>
  </si>
  <si>
    <t>3.1.6: Pronunciation - Level AAA</t>
  </si>
  <si>
    <t>Explain any words that are hard to pronounce</t>
  </si>
  <si>
    <t>https://www.w3.org/WAI/WCAG22/Understanding/pronunciation</t>
  </si>
  <si>
    <t>3.2.5: Change on Request - Level AAA</t>
  </si>
  <si>
    <t>Don’t change elements on your website until users ask</t>
  </si>
  <si>
    <t>https://www.w3.org/WAI/WCAG22/Understanding/change-on-request</t>
  </si>
  <si>
    <t>3.3.5: Help - Level AAA</t>
  </si>
  <si>
    <t>Provide detailed help and instructions</t>
  </si>
  <si>
    <t>https://www.w3.org/TR/UNDERSTANDING-WCAG20/minimize-error-context-help</t>
  </si>
  <si>
    <t>3.3.6: Error Prevention (All) - Level AAA</t>
  </si>
  <si>
    <t>Reduce the risk of all input errors</t>
  </si>
  <si>
    <t>https://www.w3.org/TR/UNDERSTANDING-WCAG20/minimize-error-reversible-all.html</t>
  </si>
  <si>
    <t>3.3.9: Accessible Authentication (Enhanced) - Level AAA</t>
  </si>
  <si>
    <t>Don’t make people recognize objects or user-supplied images and media to login.</t>
  </si>
  <si>
    <t>https://www.w3.org/WAI/WCAG22/Understanding/accessible-authentication-enhanced</t>
  </si>
  <si>
    <t>Best Practice</t>
  </si>
  <si>
    <t>The issues does not fail WCAG, but is a well-established and recommended design or usability best practice on the web</t>
  </si>
  <si>
    <r>
      <rPr>
        <rFont val="Arial"/>
        <color rgb="FF1155CC"/>
        <sz val="11.0"/>
        <u/>
      </rPr>
      <t>https://radancy.dev/component-library/guidance/</t>
    </r>
    <r>
      <rPr>
        <rFont val="Arial"/>
        <color rgb="FF1F1F1F"/>
        <sz val="11.0"/>
      </rPr>
      <t xml:space="preserve"> </t>
    </r>
  </si>
  <si>
    <t>Definitions</t>
  </si>
  <si>
    <t xml:space="preserve">Auditor Notes:  </t>
  </si>
  <si>
    <t>Automated Scan (WAVE)</t>
  </si>
  <si>
    <t>Issue found in automated scan and must be addressed. All errors must be fixed. Warnings, if not critical to access can be dismissed, but it is considered good form to address them when possible.</t>
  </si>
  <si>
    <t>https://radancy.dev/a11y/#wave</t>
  </si>
  <si>
    <r>
      <rPr>
        <rFont val="Arial"/>
        <color rgb="FF000000"/>
        <sz val="12.0"/>
      </rPr>
      <t xml:space="preserve">  Prevents access to certain users with </t>
    </r>
    <r>
      <rPr>
        <rFont val="Arial"/>
        <i/>
        <color rgb="FF000000"/>
        <sz val="12.0"/>
      </rPr>
      <t>no workaround</t>
    </r>
    <r>
      <rPr>
        <rFont val="Arial"/>
        <color rgb="FF000000"/>
        <sz val="12.0"/>
      </rPr>
      <t>.</t>
    </r>
  </si>
  <si>
    <t>https://radancy.dev/a11y/#axe</t>
  </si>
  <si>
    <t>Automated Scan (W3C)</t>
  </si>
  <si>
    <t>https://radancy.dev/a11y/#w3c</t>
  </si>
  <si>
    <t xml:space="preserve">  Prevents access to certain users, but workarounds exist for expert users.</t>
  </si>
  <si>
    <t xml:space="preserve">  Seriously degrades user experience for users with disabilities.                                                                                                                </t>
  </si>
  <si>
    <t xml:space="preserve">  Degrades user experience for users with disabilities.</t>
  </si>
  <si>
    <r>
      <rPr>
        <rFont val="Arial"/>
        <b/>
        <color theme="1"/>
        <sz val="12.0"/>
      </rPr>
      <t xml:space="preserve">Level A: </t>
    </r>
    <r>
      <rPr>
        <rFont val="Arial"/>
        <color theme="1"/>
        <sz val="12.0"/>
      </rPr>
      <t xml:space="preserve">Critical, If not met, certain users will not be able to read, understand, or fully operate the page.
</t>
    </r>
    <r>
      <rPr>
        <rFont val="Arial"/>
        <b/>
        <color theme="1"/>
        <sz val="12.0"/>
      </rPr>
      <t>Level AA:</t>
    </r>
    <r>
      <rPr>
        <rFont val="Arial"/>
        <color theme="1"/>
        <sz val="12.0"/>
      </rPr>
      <t xml:space="preserve"> Essential, however some barriers might remain for certain people. Guidelines most organizations seek to meet.
</t>
    </r>
    <r>
      <rPr>
        <rFont val="Arial"/>
        <b/>
        <color theme="1"/>
        <sz val="12.0"/>
      </rPr>
      <t xml:space="preserve">Level AAA: </t>
    </r>
    <r>
      <rPr>
        <rFont val="Arial"/>
        <color theme="1"/>
        <sz val="12.0"/>
      </rPr>
      <t>Specialized, typically reserved for websites and apps that serve a specialized audience.</t>
    </r>
  </si>
  <si>
    <t xml:space="preserve">   Remediation Hours</t>
  </si>
  <si>
    <t xml:space="preserve">Development Support Traffic: </t>
  </si>
  <si>
    <t xml:space="preserve">Implementation Queue: </t>
  </si>
  <si>
    <t xml:space="preserve">Accessibility Support: </t>
  </si>
  <si>
    <t xml:space="preserve">Creative Support: </t>
  </si>
  <si>
    <t>Current estimates indicate that 20% of the world 
population (1.4 billion people) have a disability, so please remember to 
keep inclusion and accessibility in mind when designing and developing 
your next web page, site or application.</t>
  </si>
  <si>
    <t xml:space="preserve">CSS Support: </t>
  </si>
  <si>
    <t xml:space="preserve">Total Remediation Hours (Estimate):  </t>
  </si>
</sst>
</file>

<file path=xl/styles.xml><?xml version="1.0" encoding="utf-8"?>
<styleSheet xmlns="http://schemas.openxmlformats.org/spreadsheetml/2006/main" xmlns:x14ac="http://schemas.microsoft.com/office/spreadsheetml/2009/9/ac" xmlns:mc="http://schemas.openxmlformats.org/markup-compatibility/2006">
  <fonts count="35">
    <font>
      <sz val="10.0"/>
      <color rgb="FF000000"/>
      <name val="Arial"/>
      <scheme val="minor"/>
    </font>
    <font>
      <b/>
      <sz val="10.0"/>
      <color rgb="FFFFFFFF"/>
      <name val="Arial"/>
    </font>
    <font>
      <sz val="10.0"/>
      <color rgb="FF000000"/>
      <name val="Arial"/>
    </font>
    <font>
      <b/>
      <sz val="11.0"/>
      <color theme="1"/>
      <name val="Arial"/>
    </font>
    <font/>
    <font>
      <sz val="10.0"/>
      <color theme="1"/>
      <name val="Arial"/>
    </font>
    <font>
      <b/>
      <sz val="10.0"/>
      <color rgb="FF000000"/>
      <name val="Arial"/>
    </font>
    <font>
      <sz val="11.0"/>
      <color rgb="FFFFFFFF"/>
      <name val="Arial"/>
    </font>
    <font>
      <b/>
      <sz val="11.0"/>
      <color rgb="FFFFFFFF"/>
      <name val="Arial"/>
    </font>
    <font>
      <sz val="11.0"/>
      <color theme="1"/>
      <name val="Arial"/>
    </font>
    <font>
      <u/>
      <sz val="11.0"/>
      <color rgb="FF0000FF"/>
      <name val="Arial"/>
    </font>
    <font>
      <sz val="10.0"/>
      <color rgb="FFFFFFFF"/>
      <name val="Arial"/>
    </font>
    <font>
      <u/>
      <sz val="10.0"/>
      <color rgb="FF0000FF"/>
      <name val="Arial"/>
    </font>
    <font>
      <u/>
      <sz val="11.0"/>
      <color rgb="FF000000"/>
      <name val="Arial"/>
    </font>
    <font>
      <b/>
      <sz val="10.0"/>
      <color theme="1"/>
      <name val="Arial"/>
    </font>
    <font>
      <u/>
      <sz val="10.0"/>
      <color rgb="FF0000FF"/>
      <name val="Arial"/>
    </font>
    <font>
      <sz val="11.0"/>
      <color rgb="FF434343"/>
      <name val="Arial"/>
    </font>
    <font>
      <sz val="11.0"/>
      <color rgb="FF548DD4"/>
      <name val="Arial"/>
    </font>
    <font>
      <sz val="11.0"/>
      <color rgb="FF000000"/>
      <name val="Arial"/>
    </font>
    <font>
      <u/>
      <sz val="11.0"/>
      <color rgb="FF0000FF"/>
      <name val="Arial"/>
    </font>
    <font>
      <b/>
      <sz val="11.0"/>
      <color rgb="FF434343"/>
      <name val="Arial"/>
    </font>
    <font>
      <u/>
      <sz val="11.0"/>
      <color rgb="FF0000FF"/>
      <name val="Arial"/>
    </font>
    <font>
      <u/>
      <sz val="10.0"/>
      <color rgb="FF1155CC"/>
      <name val="Arial"/>
    </font>
    <font>
      <u/>
      <sz val="10.0"/>
      <color rgb="FF0000FF"/>
      <name val="Arial"/>
    </font>
    <font>
      <u/>
      <sz val="11.0"/>
      <color rgb="FF0000FF"/>
      <name val="Arial"/>
    </font>
    <font>
      <sz val="11.0"/>
      <color rgb="FF980000"/>
      <name val="Arial"/>
    </font>
    <font>
      <u/>
      <sz val="11.0"/>
      <color rgb="FF434343"/>
      <name val="Arial"/>
    </font>
    <font>
      <sz val="11.0"/>
      <color rgb="FF1155CC"/>
      <name val="Arial"/>
    </font>
    <font>
      <sz val="11.0"/>
      <color rgb="FF1F1F1F"/>
      <name val="Arial"/>
    </font>
    <font>
      <sz val="12.0"/>
      <color rgb="FFFFFFFF"/>
      <name val="Arial"/>
    </font>
    <font>
      <u/>
      <sz val="11.0"/>
      <color rgb="FF0563C1"/>
      <name val="Arial"/>
    </font>
    <font>
      <sz val="12.0"/>
      <color rgb="FF000000"/>
      <name val="Arial"/>
    </font>
    <font>
      <sz val="12.0"/>
      <color theme="1"/>
      <name val="Arial"/>
    </font>
    <font>
      <b/>
      <sz val="21.0"/>
      <color rgb="FFFFFFFF"/>
      <name val="Calibri"/>
    </font>
    <font>
      <b/>
      <sz val="15.0"/>
      <color rgb="FFFFFFFF"/>
      <name val="Calibri"/>
    </font>
  </fonts>
  <fills count="25">
    <fill>
      <patternFill patternType="none"/>
    </fill>
    <fill>
      <patternFill patternType="lightGray"/>
    </fill>
    <fill>
      <patternFill patternType="solid">
        <fgColor rgb="FF6E00EF"/>
        <bgColor rgb="FF6E00EF"/>
      </patternFill>
    </fill>
    <fill>
      <patternFill patternType="solid">
        <fgColor rgb="FFB7E1CD"/>
        <bgColor rgb="FFB7E1CD"/>
      </patternFill>
    </fill>
    <fill>
      <patternFill patternType="solid">
        <fgColor rgb="FF666666"/>
        <bgColor rgb="FF666666"/>
      </patternFill>
    </fill>
    <fill>
      <patternFill patternType="solid">
        <fgColor rgb="FF999999"/>
        <bgColor rgb="FF999999"/>
      </patternFill>
    </fill>
    <fill>
      <patternFill patternType="solid">
        <fgColor rgb="FFD9D2E9"/>
        <bgColor rgb="FFD9D2E9"/>
      </patternFill>
    </fill>
    <fill>
      <patternFill patternType="solid">
        <fgColor rgb="FFB7B7B7"/>
        <bgColor rgb="FFB7B7B7"/>
      </patternFill>
    </fill>
    <fill>
      <patternFill patternType="solid">
        <fgColor rgb="FF434343"/>
        <bgColor rgb="FF434343"/>
      </patternFill>
    </fill>
    <fill>
      <patternFill patternType="solid">
        <fgColor rgb="FFFFFFFF"/>
        <bgColor rgb="FFFFFFFF"/>
      </patternFill>
    </fill>
    <fill>
      <patternFill patternType="solid">
        <fgColor rgb="FFCC0000"/>
        <bgColor rgb="FFCC0000"/>
      </patternFill>
    </fill>
    <fill>
      <patternFill patternType="solid">
        <fgColor rgb="FF6AA84F"/>
        <bgColor rgb="FF6AA84F"/>
      </patternFill>
    </fill>
    <fill>
      <patternFill patternType="solid">
        <fgColor rgb="FFFF0000"/>
        <bgColor rgb="FFFF0000"/>
      </patternFill>
    </fill>
    <fill>
      <patternFill patternType="solid">
        <fgColor rgb="FFFF9900"/>
        <bgColor rgb="FFFF9900"/>
      </patternFill>
    </fill>
    <fill>
      <patternFill patternType="solid">
        <fgColor rgb="FFFFE599"/>
        <bgColor rgb="FFFFE599"/>
      </patternFill>
    </fill>
    <fill>
      <patternFill patternType="solid">
        <fgColor rgb="FFC9DAF8"/>
        <bgColor rgb="FFC9DAF8"/>
      </patternFill>
    </fill>
    <fill>
      <patternFill patternType="solid">
        <fgColor rgb="FFD9D9D9"/>
        <bgColor rgb="FFD9D9D9"/>
      </patternFill>
    </fill>
    <fill>
      <patternFill patternType="solid">
        <fgColor theme="7"/>
        <bgColor theme="7"/>
      </patternFill>
    </fill>
    <fill>
      <patternFill patternType="solid">
        <fgColor rgb="FF0B5394"/>
        <bgColor rgb="FF0B5394"/>
      </patternFill>
    </fill>
    <fill>
      <patternFill patternType="solid">
        <fgColor theme="5"/>
        <bgColor theme="5"/>
      </patternFill>
    </fill>
    <fill>
      <patternFill patternType="solid">
        <fgColor rgb="FFC6D9F0"/>
        <bgColor rgb="FFC6D9F0"/>
      </patternFill>
    </fill>
    <fill>
      <patternFill patternType="solid">
        <fgColor rgb="FFF4CCCC"/>
        <bgColor rgb="FFF4CCCC"/>
      </patternFill>
    </fill>
    <fill>
      <patternFill patternType="solid">
        <fgColor rgb="FFFCAB31"/>
        <bgColor rgb="FFFCAB31"/>
      </patternFill>
    </fill>
    <fill>
      <patternFill patternType="solid">
        <fgColor rgb="FF18BCF2"/>
        <bgColor rgb="FF18BCF2"/>
      </patternFill>
    </fill>
    <fill>
      <patternFill patternType="solid">
        <fgColor rgb="FFFFF2CC"/>
        <bgColor rgb="FFFFF2CC"/>
      </patternFill>
    </fill>
  </fills>
  <borders count="28">
    <border/>
    <border>
      <left style="thin">
        <color rgb="FF000000"/>
      </left>
      <right style="thin">
        <color rgb="FF000000"/>
      </right>
      <top style="thin">
        <color rgb="FF000000"/>
      </top>
      <bottom style="thin">
        <color rgb="FF000000"/>
      </bottom>
    </border>
    <border>
      <top style="thin">
        <color rgb="FFFFFFFF"/>
      </top>
    </border>
    <border>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bottom style="thin">
        <color rgb="FF000000"/>
      </bottom>
    </border>
    <border>
      <left style="thin">
        <color rgb="FF000000"/>
      </left>
      <bottom style="thin">
        <color rgb="FF000000"/>
      </bottom>
    </border>
    <border>
      <left style="thin">
        <color rgb="FF000000"/>
      </left>
      <right style="thin">
        <color rgb="FF000000"/>
      </right>
      <top style="thin">
        <color rgb="FF000000"/>
      </top>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right style="thin">
        <color rgb="FF000000"/>
      </right>
    </border>
    <border>
      <left style="thin">
        <color rgb="FF000000"/>
      </left>
    </border>
    <border>
      <right style="thin">
        <color rgb="FF000000"/>
      </right>
    </border>
    <border>
      <left style="thin">
        <color rgb="FF000000"/>
      </left>
      <right style="thin">
        <color rgb="FF000000"/>
      </right>
      <bottom style="thin">
        <color rgb="FF000000"/>
      </bottom>
    </border>
    <border>
      <right style="thin">
        <color rgb="FF000000"/>
      </right>
      <bottom style="thin">
        <color rgb="FF000000"/>
      </bottom>
    </border>
    <border>
      <left style="thin">
        <color rgb="FF000000"/>
      </left>
      <bottom/>
    </border>
    <border>
      <bottom/>
    </border>
    <border>
      <right/>
      <bottom/>
    </border>
    <border>
      <left style="thin">
        <color rgb="FF000000"/>
      </left>
      <top/>
      <bottom/>
    </border>
    <border>
      <top/>
      <bottom/>
    </border>
    <border>
      <right/>
      <top/>
      <bottom/>
    </border>
    <border>
      <right/>
    </border>
    <border>
      <left/>
    </border>
    <border>
      <bottom style="thin">
        <color rgb="FFFFFFFF"/>
      </bottom>
    </border>
    <border>
      <left/>
      <bottom/>
    </border>
  </borders>
  <cellStyleXfs count="1">
    <xf borderId="0" fillId="0" fontId="0" numFmtId="0" applyAlignment="1" applyFont="1"/>
  </cellStyleXfs>
  <cellXfs count="121">
    <xf borderId="0" fillId="0" fontId="0" numFmtId="0" xfId="0" applyAlignment="1" applyFont="1">
      <alignment readingOrder="0" shrinkToFit="0" vertical="bottom" wrapText="0"/>
    </xf>
    <xf borderId="1" fillId="2" fontId="1" numFmtId="0" xfId="0" applyAlignment="1" applyBorder="1" applyFill="1" applyFont="1">
      <alignment shrinkToFit="0" vertical="center" wrapText="1"/>
    </xf>
    <xf borderId="0" fillId="0" fontId="2" numFmtId="0" xfId="0" applyAlignment="1" applyFont="1">
      <alignment shrinkToFit="0" wrapText="1"/>
    </xf>
    <xf borderId="2" fillId="0" fontId="3" numFmtId="0" xfId="0" applyAlignment="1" applyBorder="1" applyFont="1">
      <alignment horizontal="center" shrinkToFit="0" vertical="center" wrapText="1"/>
    </xf>
    <xf borderId="1" fillId="2" fontId="1" numFmtId="0" xfId="0" applyAlignment="1" applyBorder="1" applyFill="1" applyFont="1">
      <alignment readingOrder="0" shrinkToFit="0" vertical="center" wrapText="1"/>
    </xf>
    <xf borderId="3" fillId="0" fontId="3" numFmtId="0" xfId="0" applyAlignment="1" applyBorder="1" applyFont="1">
      <alignment horizontal="left" readingOrder="0" shrinkToFit="0" vertical="center" wrapText="1"/>
    </xf>
    <xf borderId="3" fillId="0" fontId="4" numFmtId="0" xfId="0" applyBorder="1" applyFont="1"/>
    <xf borderId="1" fillId="3" fontId="5" numFmtId="0" xfId="0" applyAlignment="1" applyBorder="1" applyFill="1" applyFont="1">
      <alignment readingOrder="0" shrinkToFit="0" vertical="center" wrapText="1"/>
    </xf>
    <xf borderId="1" fillId="4" fontId="1" numFmtId="0" xfId="0" applyAlignment="1" applyBorder="1" applyFill="1" applyFont="1">
      <alignment horizontal="center" shrinkToFit="0" vertical="center" wrapText="1"/>
    </xf>
    <xf borderId="1" fillId="5" fontId="6" numFmtId="0" xfId="0" applyAlignment="1" applyBorder="1" applyFill="1" applyFont="1">
      <alignment horizontal="center" shrinkToFit="0" vertical="center" wrapText="1"/>
    </xf>
    <xf borderId="1" fillId="6" fontId="5" numFmtId="0" xfId="0" applyAlignment="1" applyBorder="1" applyFill="1" applyFont="1">
      <alignment readingOrder="0" shrinkToFit="0" vertical="center" wrapText="1"/>
    </xf>
    <xf borderId="1" fillId="2" fontId="7" numFmtId="49" xfId="0" applyAlignment="1" applyBorder="1" applyFill="1" applyFont="1" applyNumberFormat="1">
      <alignment shrinkToFit="0" vertical="center" wrapText="1"/>
    </xf>
    <xf borderId="1" fillId="7" fontId="6" numFmtId="0" xfId="0" applyAlignment="1" applyBorder="1" applyFill="1" applyFont="1">
      <alignment horizontal="center" shrinkToFit="0" vertical="center" wrapText="1"/>
    </xf>
    <xf borderId="1" fillId="2" fontId="8" numFmtId="49" xfId="0" applyAlignment="1" applyBorder="1" applyFill="1" applyFont="1" applyNumberFormat="1">
      <alignment shrinkToFit="0" vertical="center" wrapText="1"/>
    </xf>
    <xf borderId="1" fillId="6" fontId="9" numFmtId="49" xfId="0" applyAlignment="1" applyBorder="1" applyFill="1" applyFont="1" applyNumberFormat="1">
      <alignment shrinkToFit="0" vertical="center" wrapText="1"/>
    </xf>
    <xf borderId="1" fillId="8" fontId="1" numFmtId="0" xfId="0" applyAlignment="1" applyBorder="1" applyFill="1" applyFont="1">
      <alignment horizontal="center" shrinkToFit="0" vertical="center" wrapText="1"/>
    </xf>
    <xf borderId="1" fillId="9" fontId="9" numFmtId="49" xfId="0" applyAlignment="1" applyBorder="1" applyFill="1" applyFont="1" applyNumberFormat="1">
      <alignment horizontal="center" shrinkToFit="0" vertical="center" wrapText="1"/>
    </xf>
    <xf borderId="1" fillId="2" fontId="7" numFmtId="0" xfId="0" applyAlignment="1" applyBorder="1" applyFill="1" applyFont="1">
      <alignment horizontal="right" shrinkToFit="0" vertical="center" wrapText="1"/>
    </xf>
    <xf borderId="1" fillId="9" fontId="9" numFmtId="49" xfId="0" applyAlignment="1" applyBorder="1" applyFill="1" applyFont="1" applyNumberFormat="1">
      <alignment shrinkToFit="0" vertical="center" wrapText="1"/>
    </xf>
    <xf borderId="4" fillId="0" fontId="9" numFmtId="0" xfId="0" applyAlignment="1" applyBorder="1" applyFont="1">
      <alignment horizontal="left" shrinkToFit="0" vertical="center" wrapText="1"/>
    </xf>
    <xf borderId="5" fillId="0" fontId="4" numFmtId="0" xfId="0" applyBorder="1" applyFont="1"/>
    <xf borderId="1" fillId="6" fontId="5" numFmtId="0" xfId="0" applyAlignment="1" applyBorder="1" applyFill="1" applyFont="1">
      <alignment horizontal="center" shrinkToFit="0" vertical="center" wrapText="1"/>
    </xf>
    <xf borderId="6" fillId="0" fontId="4" numFmtId="0" xfId="0" applyBorder="1" applyFont="1"/>
    <xf borderId="1" fillId="9" fontId="10" numFmtId="49" xfId="0" applyAlignment="1" applyBorder="1" applyFill="1" applyFont="1" applyNumberFormat="1">
      <alignment shrinkToFit="0" vertical="center" wrapText="1"/>
    </xf>
    <xf borderId="1" fillId="10" fontId="11" numFmtId="0" xfId="0" applyAlignment="1" applyBorder="1" applyFill="1" applyFont="1">
      <alignment horizontal="center" shrinkToFit="0" vertical="center" wrapText="1"/>
    </xf>
    <xf borderId="1" fillId="6" fontId="5" numFmtId="0" xfId="0" applyAlignment="1" applyBorder="1" applyFill="1" applyFont="1">
      <alignment shrinkToFit="0" vertical="center" wrapText="1"/>
    </xf>
    <xf borderId="1" fillId="11" fontId="5" numFmtId="0" xfId="0" applyAlignment="1" applyBorder="1" applyFill="1" applyFont="1">
      <alignment horizontal="center" shrinkToFit="0" vertical="center" wrapText="1"/>
    </xf>
    <xf borderId="1" fillId="6" fontId="12" numFmtId="0" xfId="0" applyAlignment="1" applyBorder="1" applyFill="1" applyFont="1">
      <alignment shrinkToFit="0" vertical="center" wrapText="1"/>
    </xf>
    <xf borderId="1" fillId="12" fontId="11" numFmtId="0" xfId="0" applyAlignment="1" applyBorder="1" applyFill="1" applyFont="1">
      <alignment horizontal="center" shrinkToFit="0" vertical="center" wrapText="1"/>
    </xf>
    <xf borderId="1" fillId="13" fontId="5" numFmtId="0" xfId="0" applyAlignment="1" applyBorder="1" applyFill="1" applyFont="1">
      <alignment horizontal="center" shrinkToFit="0" vertical="center" wrapText="1"/>
    </xf>
    <xf borderId="1" fillId="14" fontId="5" numFmtId="0" xfId="0" applyAlignment="1" applyBorder="1" applyFill="1" applyFont="1">
      <alignment horizontal="center" shrinkToFit="0" vertical="center" wrapText="1"/>
    </xf>
    <xf borderId="1" fillId="15" fontId="5" numFmtId="0" xfId="0" applyAlignment="1" applyBorder="1" applyFill="1" applyFont="1">
      <alignment horizontal="center" shrinkToFit="0" vertical="center" wrapText="1"/>
    </xf>
    <xf borderId="1" fillId="9" fontId="13" numFmtId="49" xfId="0" applyAlignment="1" applyBorder="1" applyFill="1" applyFont="1" applyNumberFormat="1">
      <alignment shrinkToFit="0" vertical="center" wrapText="1"/>
    </xf>
    <xf borderId="1" fillId="0" fontId="5" numFmtId="0" xfId="0" applyAlignment="1" applyBorder="1" applyFont="1">
      <alignment horizontal="center" shrinkToFit="0" vertical="center" wrapText="1"/>
    </xf>
    <xf borderId="1" fillId="9" fontId="14" numFmtId="0" xfId="0" applyAlignment="1" applyBorder="1" applyFill="1" applyFont="1">
      <alignment horizontal="center" shrinkToFit="0" vertical="center" wrapText="1"/>
    </xf>
    <xf borderId="1" fillId="16" fontId="15" numFmtId="0" xfId="0" applyAlignment="1" applyBorder="1" applyFill="1" applyFont="1">
      <alignment readingOrder="0" shrinkToFit="0" vertical="center" wrapText="1"/>
    </xf>
    <xf borderId="1" fillId="3" fontId="5" numFmtId="0" xfId="0" applyAlignment="1" applyBorder="1" applyFill="1" applyFont="1">
      <alignment shrinkToFit="0" vertical="center" wrapText="1"/>
    </xf>
    <xf borderId="1" fillId="17" fontId="14" numFmtId="0" xfId="0" applyAlignment="1" applyBorder="1" applyFill="1" applyFont="1">
      <alignment horizontal="center" shrinkToFit="0" vertical="center" wrapText="1"/>
    </xf>
    <xf borderId="1" fillId="3" fontId="2" numFmtId="0" xfId="0" applyAlignment="1" applyBorder="1" applyFill="1" applyFont="1">
      <alignment shrinkToFit="0" vertical="center" wrapText="1"/>
    </xf>
    <xf borderId="1" fillId="2" fontId="7" numFmtId="0" xfId="0" applyAlignment="1" applyBorder="1" applyFill="1" applyFont="1">
      <alignment horizontal="right" readingOrder="0" shrinkToFit="0" vertical="center" wrapText="1"/>
    </xf>
    <xf borderId="4" fillId="0" fontId="16" numFmtId="14" xfId="0" applyAlignment="1" applyBorder="1" applyFont="1" applyNumberFormat="1">
      <alignment horizontal="left" shrinkToFit="0" vertical="center" wrapText="1"/>
    </xf>
    <xf borderId="0" fillId="0" fontId="3" numFmtId="0" xfId="0" applyAlignment="1" applyFont="1">
      <alignment horizontal="left" readingOrder="0" shrinkToFit="0" vertical="center" wrapText="1"/>
    </xf>
    <xf borderId="4" fillId="0" fontId="17" numFmtId="0" xfId="0" applyAlignment="1" applyBorder="1" applyFont="1">
      <alignment horizontal="left" shrinkToFit="0" vertical="center" wrapText="1"/>
    </xf>
    <xf borderId="7" fillId="2" fontId="7" numFmtId="0" xfId="0" applyAlignment="1" applyBorder="1" applyFill="1" applyFont="1">
      <alignment horizontal="right" shrinkToFit="0" vertical="center" wrapText="1"/>
    </xf>
    <xf borderId="4" fillId="4" fontId="1" numFmtId="0" xfId="0" applyAlignment="1" applyBorder="1" applyFill="1" applyFont="1">
      <alignment horizontal="center" readingOrder="0" shrinkToFit="0" vertical="center" wrapText="1"/>
    </xf>
    <xf borderId="1" fillId="6" fontId="18" numFmtId="0" xfId="0" applyAlignment="1" applyBorder="1" applyFill="1" applyFont="1">
      <alignment shrinkToFit="0" vertical="center" wrapText="1"/>
    </xf>
    <xf borderId="1" fillId="9" fontId="18" numFmtId="0" xfId="0" applyAlignment="1" applyBorder="1" applyFill="1" applyFont="1">
      <alignment shrinkToFit="0" vertical="center" wrapText="1"/>
    </xf>
    <xf borderId="1" fillId="16" fontId="5" numFmtId="0" xfId="0" applyAlignment="1" applyBorder="1" applyFill="1" applyFont="1">
      <alignment readingOrder="0" shrinkToFit="0" vertical="center" wrapText="1"/>
    </xf>
    <xf borderId="7" fillId="2" fontId="7" numFmtId="0" xfId="0" applyAlignment="1" applyBorder="1" applyFill="1" applyFont="1">
      <alignment horizontal="right" readingOrder="0" shrinkToFit="0" vertical="center" wrapText="1"/>
    </xf>
    <xf borderId="1" fillId="16" fontId="5" numFmtId="0" xfId="0" applyAlignment="1" applyBorder="1" applyFill="1" applyFont="1">
      <alignment vertical="center"/>
    </xf>
    <xf borderId="1" fillId="9" fontId="19" numFmtId="0" xfId="0" applyAlignment="1" applyBorder="1" applyFill="1" applyFont="1">
      <alignment shrinkToFit="0" vertical="center" wrapText="1"/>
    </xf>
    <xf borderId="1" fillId="16" fontId="5" numFmtId="0" xfId="0" applyAlignment="1" applyBorder="1" applyFill="1" applyFont="1">
      <alignment shrinkToFit="0" vertical="center" wrapText="1"/>
    </xf>
    <xf borderId="4" fillId="0" fontId="20" numFmtId="0" xfId="0" applyAlignment="1" applyBorder="1" applyFont="1">
      <alignment horizontal="left" readingOrder="0" shrinkToFit="0" vertical="center" wrapText="1"/>
    </xf>
    <xf borderId="8" fillId="18" fontId="7" numFmtId="0" xfId="0" applyAlignment="1" applyBorder="1" applyFill="1" applyFont="1">
      <alignment horizontal="right" readingOrder="0" shrinkToFit="0" vertical="center" wrapText="1"/>
    </xf>
    <xf borderId="1" fillId="10" fontId="11" numFmtId="0" xfId="0" applyAlignment="1" applyBorder="1" applyFill="1" applyFont="1">
      <alignment readingOrder="0" shrinkToFit="0" vertical="center" wrapText="1"/>
    </xf>
    <xf borderId="1" fillId="12" fontId="7" numFmtId="0" xfId="0" applyAlignment="1" applyBorder="1" applyFill="1" applyFont="1">
      <alignment horizontal="center" shrinkToFit="0" vertical="center" wrapText="1"/>
    </xf>
    <xf borderId="1" fillId="10" fontId="11" numFmtId="0" xfId="0" applyAlignment="1" applyBorder="1" applyFill="1" applyFont="1">
      <alignment shrinkToFit="0" vertical="center" wrapText="1"/>
    </xf>
    <xf borderId="1" fillId="19" fontId="9" numFmtId="0" xfId="0" applyAlignment="1" applyBorder="1" applyFill="1" applyFont="1">
      <alignment horizontal="center" shrinkToFit="0" vertical="center" wrapText="1"/>
    </xf>
    <xf borderId="1" fillId="14" fontId="9" numFmtId="0" xfId="0" applyAlignment="1" applyBorder="1" applyFill="1" applyFont="1">
      <alignment horizontal="center" shrinkToFit="0" vertical="center" wrapText="1"/>
    </xf>
    <xf borderId="1" fillId="20" fontId="9" numFmtId="0" xfId="0" applyAlignment="1" applyBorder="1" applyFill="1" applyFont="1">
      <alignment horizontal="center" shrinkToFit="0" vertical="center" wrapText="1"/>
    </xf>
    <xf borderId="1" fillId="0" fontId="5" numFmtId="0" xfId="0" applyAlignment="1" applyBorder="1" applyFont="1">
      <alignment readingOrder="0" shrinkToFit="0" vertical="center" wrapText="1"/>
    </xf>
    <xf borderId="1" fillId="16" fontId="5" numFmtId="0" xfId="0" applyAlignment="1" applyBorder="1" applyFill="1" applyFont="1">
      <alignment horizontal="center" readingOrder="0" shrinkToFit="0" vertical="center" wrapText="1"/>
    </xf>
    <xf borderId="1" fillId="0" fontId="9" numFmtId="0" xfId="0" applyAlignment="1" applyBorder="1" applyFont="1">
      <alignment horizontal="center" shrinkToFit="0" vertical="center" wrapText="1"/>
    </xf>
    <xf borderId="1" fillId="6" fontId="18" numFmtId="0" xfId="0" applyAlignment="1" applyBorder="1" applyFill="1" applyFont="1">
      <alignment readingOrder="0" shrinkToFit="0" vertical="center" wrapText="1"/>
    </xf>
    <xf borderId="1" fillId="0" fontId="9" numFmtId="49" xfId="0" applyAlignment="1" applyBorder="1" applyFont="1" applyNumberFormat="1">
      <alignment horizontal="center" shrinkToFit="0" vertical="center" wrapText="1"/>
    </xf>
    <xf borderId="1" fillId="0" fontId="18" numFmtId="0" xfId="0" applyAlignment="1" applyBorder="1" applyFont="1">
      <alignment shrinkToFit="0" vertical="center" wrapText="1"/>
    </xf>
    <xf borderId="1" fillId="0" fontId="21" numFmtId="0" xfId="0" applyAlignment="1" applyBorder="1" applyFont="1">
      <alignment shrinkToFit="0" vertical="center" wrapText="1"/>
    </xf>
    <xf borderId="1" fillId="16" fontId="22" numFmtId="0" xfId="0" applyAlignment="1" applyBorder="1" applyFill="1" applyFont="1">
      <alignment shrinkToFit="0" vertical="center" wrapText="1"/>
    </xf>
    <xf borderId="1" fillId="0" fontId="9" numFmtId="49" xfId="0" applyAlignment="1" applyBorder="1" applyFont="1" applyNumberFormat="1">
      <alignment shrinkToFit="0" vertical="center" wrapText="1"/>
    </xf>
    <xf borderId="1" fillId="17" fontId="9" numFmtId="0" xfId="0" applyAlignment="1" applyBorder="1" applyFill="1" applyFont="1">
      <alignment horizontal="center" shrinkToFit="0" vertical="center" wrapText="1"/>
    </xf>
    <xf borderId="1" fillId="16" fontId="23" numFmtId="0" xfId="0" applyAlignment="1" applyBorder="1" applyFill="1" applyFont="1">
      <alignment shrinkToFit="0" vertical="center" wrapText="1"/>
    </xf>
    <xf borderId="1" fillId="0" fontId="24" numFmtId="49" xfId="0" applyAlignment="1" applyBorder="1" applyFont="1" applyNumberFormat="1">
      <alignment shrinkToFit="0" vertical="center" wrapText="1"/>
    </xf>
    <xf borderId="4" fillId="0" fontId="16" numFmtId="0" xfId="0" applyAlignment="1" applyBorder="1" applyFont="1">
      <alignment horizontal="left" readingOrder="0" shrinkToFit="0" vertical="center" wrapText="1"/>
    </xf>
    <xf borderId="4" fillId="21" fontId="25" numFmtId="0" xfId="0" applyAlignment="1" applyBorder="1" applyFill="1" applyFont="1">
      <alignment horizontal="right" readingOrder="0" shrinkToFit="0" vertical="center" wrapText="1"/>
    </xf>
    <xf borderId="9" fillId="2" fontId="7" numFmtId="0" xfId="0" applyAlignment="1" applyBorder="1" applyFill="1" applyFont="1">
      <alignment horizontal="right" readingOrder="0" shrinkToFit="0" vertical="center" wrapText="1"/>
    </xf>
    <xf borderId="10" fillId="0" fontId="26" numFmtId="0" xfId="0" applyAlignment="1" applyBorder="1" applyFont="1">
      <alignment horizontal="left" readingOrder="0" shrinkToFit="0" vertical="center" wrapText="1"/>
    </xf>
    <xf borderId="11" fillId="0" fontId="4" numFmtId="0" xfId="0" applyBorder="1" applyFont="1"/>
    <xf borderId="12" fillId="0" fontId="4" numFmtId="0" xfId="0" applyBorder="1" applyFont="1"/>
    <xf borderId="4" fillId="2" fontId="7" numFmtId="0" xfId="0" applyAlignment="1" applyBorder="1" applyFill="1" applyFont="1">
      <alignment horizontal="right" readingOrder="0" shrinkToFit="0" vertical="center" wrapText="1"/>
    </xf>
    <xf borderId="1" fillId="6" fontId="9" numFmtId="49" xfId="0" applyAlignment="1" applyBorder="1" applyFill="1" applyFont="1" applyNumberFormat="1">
      <alignment readingOrder="0" shrinkToFit="0" vertical="center" wrapText="1"/>
    </xf>
    <xf borderId="13" fillId="0" fontId="4" numFmtId="0" xfId="0" applyBorder="1" applyFont="1"/>
    <xf borderId="14" fillId="0" fontId="4" numFmtId="0" xfId="0" applyBorder="1" applyFont="1"/>
    <xf borderId="15" fillId="0" fontId="4" numFmtId="0" xfId="0" applyBorder="1" applyFont="1"/>
    <xf borderId="4" fillId="20" fontId="27" numFmtId="0" xfId="0" applyAlignment="1" applyBorder="1" applyFill="1" applyFont="1">
      <alignment horizontal="right" readingOrder="0" shrinkToFit="0" vertical="center" wrapText="1"/>
    </xf>
    <xf borderId="4" fillId="22" fontId="18" numFmtId="0" xfId="0" applyAlignment="1" applyBorder="1" applyFill="1" applyFont="1">
      <alignment horizontal="right" readingOrder="0" shrinkToFit="0" vertical="center" wrapText="1"/>
    </xf>
    <xf borderId="4" fillId="23" fontId="9" numFmtId="0" xfId="0" applyAlignment="1" applyBorder="1" applyFill="1" applyFont="1">
      <alignment horizontal="right" readingOrder="0" shrinkToFit="0" vertical="center" wrapText="1"/>
    </xf>
    <xf borderId="4" fillId="24" fontId="18" numFmtId="0" xfId="0" applyAlignment="1" applyBorder="1" applyFill="1" applyFont="1">
      <alignment horizontal="right" readingOrder="0" shrinkToFit="0" vertical="center" wrapText="1"/>
    </xf>
    <xf borderId="16" fillId="0" fontId="4" numFmtId="0" xfId="0" applyBorder="1" applyFont="1"/>
    <xf borderId="8" fillId="0" fontId="4" numFmtId="0" xfId="0" applyBorder="1" applyFont="1"/>
    <xf borderId="17" fillId="0" fontId="4" numFmtId="0" xfId="0" applyBorder="1" applyFont="1"/>
    <xf borderId="9" fillId="2" fontId="7" numFmtId="0" xfId="0" applyAlignment="1" applyBorder="1" applyFill="1" applyFont="1">
      <alignment horizontal="right" shrinkToFit="0" vertical="center" wrapText="1"/>
    </xf>
    <xf borderId="1" fillId="0" fontId="28" numFmtId="0" xfId="0" applyAlignment="1" applyBorder="1" applyFont="1">
      <alignment readingOrder="0" shrinkToFit="0" vertical="center" wrapText="1"/>
    </xf>
    <xf borderId="10" fillId="0" fontId="16" numFmtId="0" xfId="0" applyAlignment="1" applyBorder="1" applyFont="1">
      <alignment horizontal="left" shrinkToFit="0" vertical="center" wrapText="1"/>
    </xf>
    <xf borderId="4" fillId="12" fontId="29" numFmtId="0" xfId="0" applyAlignment="1" applyBorder="1" applyFill="1" applyFont="1">
      <alignment horizontal="center" shrinkToFit="0" vertical="center" wrapText="1"/>
    </xf>
    <xf borderId="1" fillId="0" fontId="30" numFmtId="0" xfId="0" applyAlignment="1" applyBorder="1" applyFont="1">
      <alignment readingOrder="0" shrinkToFit="0" vertical="center" wrapText="1"/>
    </xf>
    <xf borderId="18" fillId="9" fontId="31" numFmtId="0" xfId="0" applyAlignment="1" applyBorder="1" applyFill="1" applyFont="1">
      <alignment horizontal="left" readingOrder="0" shrinkToFit="0" vertical="center" wrapText="1"/>
    </xf>
    <xf borderId="19" fillId="0" fontId="4" numFmtId="0" xfId="0" applyBorder="1" applyFont="1"/>
    <xf borderId="20" fillId="0" fontId="4" numFmtId="0" xfId="0" applyBorder="1" applyFont="1"/>
    <xf borderId="4" fillId="13" fontId="31" numFmtId="0" xfId="0" applyAlignment="1" applyBorder="1" applyFill="1" applyFont="1">
      <alignment horizontal="center" shrinkToFit="0" vertical="center" wrapText="1"/>
    </xf>
    <xf borderId="21" fillId="9" fontId="31" numFmtId="0" xfId="0" applyAlignment="1" applyBorder="1" applyFill="1" applyFont="1">
      <alignment horizontal="left" shrinkToFit="0" vertical="center" wrapText="1"/>
    </xf>
    <xf borderId="22" fillId="0" fontId="4" numFmtId="0" xfId="0" applyBorder="1" applyFont="1"/>
    <xf borderId="23" fillId="0" fontId="4" numFmtId="0" xfId="0" applyBorder="1" applyFont="1"/>
    <xf borderId="4" fillId="14" fontId="31" numFmtId="0" xfId="0" applyAlignment="1" applyBorder="1" applyFill="1" applyFont="1">
      <alignment horizontal="center" shrinkToFit="0" vertical="center" wrapText="1"/>
    </xf>
    <xf borderId="14" fillId="0" fontId="32" numFmtId="0" xfId="0" applyAlignment="1" applyBorder="1" applyFont="1">
      <alignment shrinkToFit="0" vertical="center" wrapText="1"/>
    </xf>
    <xf borderId="4" fillId="20" fontId="31" numFmtId="0" xfId="0" applyAlignment="1" applyBorder="1" applyFill="1" applyFont="1">
      <alignment horizontal="center" shrinkToFit="0" vertical="center" wrapText="1"/>
    </xf>
    <xf borderId="0" fillId="0" fontId="32" numFmtId="0" xfId="0" applyAlignment="1" applyFont="1">
      <alignment readingOrder="0" shrinkToFit="0" vertical="center" wrapText="1"/>
    </xf>
    <xf borderId="24" fillId="0" fontId="4" numFmtId="0" xfId="0" applyBorder="1" applyFont="1"/>
    <xf borderId="0" fillId="9" fontId="3" numFmtId="0" xfId="0" applyAlignment="1" applyFill="1" applyFont="1">
      <alignment horizontal="left" readingOrder="0" shrinkToFit="0" vertical="center" wrapText="1"/>
    </xf>
    <xf borderId="16" fillId="18" fontId="7" numFmtId="0" xfId="0" applyAlignment="1" applyBorder="1" applyFill="1" applyFont="1">
      <alignment horizontal="right" readingOrder="0" shrinkToFit="0" vertical="center" wrapText="1"/>
    </xf>
    <xf borderId="4" fillId="0" fontId="20" numFmtId="0" xfId="0" applyAlignment="1" applyBorder="1" applyFont="1">
      <alignment horizontal="left" shrinkToFit="0" vertical="center" wrapText="1"/>
    </xf>
    <xf borderId="25" fillId="9" fontId="33" numFmtId="0" xfId="0" applyAlignment="1" applyBorder="1" applyFill="1" applyFont="1">
      <alignment horizontal="center" readingOrder="0" shrinkToFit="0" vertical="center" wrapText="1"/>
    </xf>
    <xf borderId="1" fillId="21" fontId="25" numFmtId="0" xfId="0" applyAlignment="1" applyBorder="1" applyFill="1" applyFont="1">
      <alignment horizontal="right" readingOrder="0" shrinkToFit="0" vertical="center" wrapText="1"/>
    </xf>
    <xf borderId="25" fillId="0" fontId="4" numFmtId="0" xfId="0" applyBorder="1" applyFont="1"/>
    <xf borderId="1" fillId="20" fontId="27" numFmtId="0" xfId="0" applyAlignment="1" applyBorder="1" applyFill="1" applyFont="1">
      <alignment horizontal="right" readingOrder="0" shrinkToFit="0" vertical="center" wrapText="1"/>
    </xf>
    <xf borderId="1" fillId="22" fontId="18" numFmtId="0" xfId="0" applyAlignment="1" applyBorder="1" applyFill="1" applyFont="1">
      <alignment horizontal="right" readingOrder="0" shrinkToFit="0" vertical="center" wrapText="1"/>
    </xf>
    <xf borderId="25" fillId="10" fontId="34" numFmtId="0" xfId="0" applyAlignment="1" applyBorder="1" applyFill="1" applyFont="1">
      <alignment horizontal="center" readingOrder="0" shrinkToFit="0" vertical="center" wrapText="1"/>
    </xf>
    <xf borderId="1" fillId="23" fontId="9" numFmtId="0" xfId="0" applyAlignment="1" applyBorder="1" applyFill="1" applyFont="1">
      <alignment horizontal="right" readingOrder="0" shrinkToFit="0" vertical="center" wrapText="1"/>
    </xf>
    <xf borderId="1" fillId="24" fontId="18" numFmtId="0" xfId="0" applyAlignment="1" applyBorder="1" applyFill="1" applyFont="1">
      <alignment horizontal="right" readingOrder="0" shrinkToFit="0" vertical="center" wrapText="1"/>
    </xf>
    <xf borderId="1" fillId="9" fontId="18" numFmtId="0" xfId="0" applyAlignment="1" applyBorder="1" applyFill="1" applyFont="1">
      <alignment horizontal="right" readingOrder="0" shrinkToFit="0" vertical="center" wrapText="1"/>
    </xf>
    <xf borderId="26" fillId="0" fontId="4" numFmtId="0" xfId="0" applyBorder="1" applyFont="1"/>
    <xf borderId="27" fillId="0" fontId="4" numFmtId="0" xfId="0" applyBorder="1" applyFont="1"/>
  </cellXfs>
  <cellStyles count="1">
    <cellStyle xfId="0" name="Normal" builtinId="0"/>
  </cellStyles>
  <dxfs count="15">
    <dxf>
      <font>
        <color rgb="FFFFFFFF"/>
      </font>
      <fill>
        <patternFill patternType="solid">
          <fgColor rgb="FFCC0000"/>
          <bgColor rgb="FFCC0000"/>
        </patternFill>
      </fill>
      <border/>
    </dxf>
    <dxf>
      <font>
        <color rgb="FFFFFFFF"/>
      </font>
      <fill>
        <patternFill patternType="solid">
          <fgColor rgb="FFFF9900"/>
          <bgColor rgb="FFFF9900"/>
        </patternFill>
      </fill>
      <border/>
    </dxf>
    <dxf>
      <font/>
      <fill>
        <patternFill patternType="solid">
          <fgColor rgb="FFFFE599"/>
          <bgColor rgb="FFFFE599"/>
        </patternFill>
      </fill>
      <alignment shrinkToFit="0" wrapText="0"/>
      <border/>
    </dxf>
    <dxf>
      <font/>
      <fill>
        <patternFill patternType="solid">
          <fgColor rgb="FFA4C2F4"/>
          <bgColor rgb="FFA4C2F4"/>
        </patternFill>
      </fill>
      <alignment shrinkToFit="0" wrapText="0"/>
      <border/>
    </dxf>
    <dxf>
      <font>
        <color rgb="FF000000"/>
      </font>
      <fill>
        <patternFill patternType="solid">
          <fgColor rgb="FF6AA84F"/>
          <bgColor rgb="FF6AA84F"/>
        </patternFill>
      </fill>
      <border/>
    </dxf>
    <dxf>
      <font/>
      <fill>
        <patternFill patternType="solid">
          <fgColor rgb="FFB7E1CD"/>
          <bgColor rgb="FFB7E1CD"/>
        </patternFill>
      </fill>
      <border/>
    </dxf>
    <dxf>
      <font/>
      <fill>
        <patternFill patternType="solid">
          <fgColor rgb="FFFFCC99"/>
          <bgColor rgb="FFFFCC99"/>
        </patternFill>
      </fill>
      <border/>
    </dxf>
    <dxf>
      <font/>
      <fill>
        <patternFill patternType="solid">
          <fgColor rgb="FFCCCCCC"/>
          <bgColor rgb="FFCCCCCC"/>
        </patternFill>
      </fill>
      <border/>
    </dxf>
    <dxf>
      <font/>
      <fill>
        <patternFill patternType="solid">
          <fgColor rgb="FF8DB3E2"/>
          <bgColor rgb="FF8DB3E2"/>
        </patternFill>
      </fill>
      <border/>
    </dxf>
    <dxf>
      <font/>
      <fill>
        <patternFill patternType="solid">
          <fgColor rgb="FFFFFFFF"/>
          <bgColor rgb="FFFFFFFF"/>
        </patternFill>
      </fill>
      <border/>
    </dxf>
    <dxf>
      <font/>
      <fill>
        <patternFill patternType="solid">
          <fgColor rgb="FFFF99CC"/>
          <bgColor rgb="FFFF99CC"/>
        </patternFill>
      </fill>
      <border/>
    </dxf>
    <dxf>
      <font/>
      <fill>
        <patternFill patternType="solid">
          <fgColor rgb="FFF79646"/>
          <bgColor rgb="FFF79646"/>
        </patternFill>
      </fill>
      <border/>
    </dxf>
    <dxf>
      <font>
        <color rgb="FFFFFFFF"/>
      </font>
      <fill>
        <patternFill patternType="solid">
          <fgColor rgb="FF4F6128"/>
          <bgColor rgb="FF4F6128"/>
        </patternFill>
      </fill>
      <border/>
    </dxf>
    <dxf>
      <font>
        <color rgb="FF000000"/>
      </font>
      <fill>
        <patternFill patternType="solid">
          <fgColor rgb="FFE06666"/>
          <bgColor rgb="FFE06666"/>
        </patternFill>
      </fill>
      <border/>
    </dxf>
    <dxf>
      <font>
        <b/>
        <color rgb="FFCC0000"/>
      </font>
      <fill>
        <patternFill patternType="solid">
          <fgColor rgb="FFFFFFFF"/>
          <bgColor rgb="FFFFFFFF"/>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152400</xdr:colOff>
      <xdr:row>0</xdr:row>
      <xdr:rowOff>152400</xdr:rowOff>
    </xdr:from>
    <xdr:ext cx="2924175" cy="666750"/>
    <xdr:pic>
      <xdr:nvPicPr>
        <xdr:cNvPr id="0" name="image1.png" title="Image"/>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tmpww.sharepoint.com/sites/delivery/SitePages/Accessibility-Testing-Matrix.aspx" TargetMode="External"/><Relationship Id="rId2"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hyperlink" Target="https://referrals.radancy.com/dashboard/jobs/active" TargetMode="External"/><Relationship Id="rId2" Type="http://schemas.openxmlformats.org/officeDocument/2006/relationships/hyperlink" Target="https://fluffy-adventure-o7451v1.pages.github.io/erp/audit/202510/screengrab/A11YERP001.png" TargetMode="External"/><Relationship Id="rId3" Type="http://schemas.openxmlformats.org/officeDocument/2006/relationships/hyperlink" Target="https://referrals.radancy.com/dashboard/jobs/active" TargetMode="External"/><Relationship Id="rId4" Type="http://schemas.openxmlformats.org/officeDocument/2006/relationships/hyperlink" Target="https://fluffy-adventure-o7451v1.pages.github.io/erp/audit/202510/screengrab/A11YERP001.png" TargetMode="External"/><Relationship Id="rId5"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40" Type="http://schemas.openxmlformats.org/officeDocument/2006/relationships/hyperlink" Target="https://www.w3.org/WAI/WCAG22/Understanding/content-on-hover-or-focus" TargetMode="External"/><Relationship Id="rId84" Type="http://schemas.openxmlformats.org/officeDocument/2006/relationships/hyperlink" Target="https://www.w3.org/WAI/WCAG22/Understanding/change-on-request" TargetMode="External"/><Relationship Id="rId83" Type="http://schemas.openxmlformats.org/officeDocument/2006/relationships/hyperlink" Target="https://www.w3.org/WAI/WCAG22/Understanding/pronunciation" TargetMode="External"/><Relationship Id="rId42" Type="http://schemas.openxmlformats.org/officeDocument/2006/relationships/hyperlink" Target="https://www.w3.org/WAI/WCAG22/Understanding/resize-text" TargetMode="External"/><Relationship Id="rId86" Type="http://schemas.openxmlformats.org/officeDocument/2006/relationships/hyperlink" Target="https://www.w3.org/TR/UNDERSTANDING-WCAG20/minimize-error-reversible-all.html" TargetMode="External"/><Relationship Id="rId41" Type="http://schemas.openxmlformats.org/officeDocument/2006/relationships/hyperlink" Target="https://www.w3.org/WAI/WCAG22/Understanding/contrast-minimum" TargetMode="External"/><Relationship Id="rId85" Type="http://schemas.openxmlformats.org/officeDocument/2006/relationships/hyperlink" Target="https://www.w3.org/TR/UNDERSTANDING-WCAG20/minimize-error-context-help" TargetMode="External"/><Relationship Id="rId44" Type="http://schemas.openxmlformats.org/officeDocument/2006/relationships/hyperlink" Target="https://www.w3.org/WAI/WCAG22/Understanding/focus-not-obscured-minimum" TargetMode="External"/><Relationship Id="rId88" Type="http://schemas.openxmlformats.org/officeDocument/2006/relationships/hyperlink" Target="https://radancy.dev/component-library/guidance/" TargetMode="External"/><Relationship Id="rId43" Type="http://schemas.openxmlformats.org/officeDocument/2006/relationships/hyperlink" Target="https://www.w3.org/WAI/WCAG22/Understanding/images-of-text" TargetMode="External"/><Relationship Id="rId87" Type="http://schemas.openxmlformats.org/officeDocument/2006/relationships/hyperlink" Target="https://www.w3.org/WAI/WCAG22/Understanding/accessible-authentication-enhanced" TargetMode="External"/><Relationship Id="rId46" Type="http://schemas.openxmlformats.org/officeDocument/2006/relationships/hyperlink" Target="https://www.w3.org/WAI/WCAG22/Understanding/headings-and-labels" TargetMode="External"/><Relationship Id="rId45" Type="http://schemas.openxmlformats.org/officeDocument/2006/relationships/hyperlink" Target="https://www.w3.org/WAI/WCAG22/Understanding/multiple-ways" TargetMode="External"/><Relationship Id="rId89" Type="http://schemas.openxmlformats.org/officeDocument/2006/relationships/hyperlink" Target="https://radancy.dev/a11y/" TargetMode="External"/><Relationship Id="rId80" Type="http://schemas.openxmlformats.org/officeDocument/2006/relationships/hyperlink" Target="https://www.w3.org/WAI/WCAG22/Understanding/unusual-words" TargetMode="External"/><Relationship Id="rId82" Type="http://schemas.openxmlformats.org/officeDocument/2006/relationships/hyperlink" Target="https://www.w3.org/WAI/WCAG22/Understanding/reading-level" TargetMode="External"/><Relationship Id="rId81" Type="http://schemas.openxmlformats.org/officeDocument/2006/relationships/hyperlink" Target="https://www.w3.org/WAI/WCAG22/Understanding/abbreviations" TargetMode="External"/><Relationship Id="rId1" Type="http://schemas.openxmlformats.org/officeDocument/2006/relationships/hyperlink" Target="https://www.w3.org/WAI/WCAG22/Understanding/non-text-content" TargetMode="External"/><Relationship Id="rId2" Type="http://schemas.openxmlformats.org/officeDocument/2006/relationships/hyperlink" Target="https://www.w3.org/WAI/WCAG22/Understanding/audio-only-and-video-only-prerecorded" TargetMode="External"/><Relationship Id="rId3" Type="http://schemas.openxmlformats.org/officeDocument/2006/relationships/hyperlink" Target="https://www.w3.org/WAI/WCAG22/Understanding/captions-prerecorded" TargetMode="External"/><Relationship Id="rId4" Type="http://schemas.openxmlformats.org/officeDocument/2006/relationships/hyperlink" Target="https://www.w3.org/WAI/WCAG22/Understanding/audio-description-or-media-alternative-prerecorded" TargetMode="External"/><Relationship Id="rId9" Type="http://schemas.openxmlformats.org/officeDocument/2006/relationships/hyperlink" Target="https://www.w3.org/WAI/WCAG22/Understanding/audio-control" TargetMode="External"/><Relationship Id="rId48" Type="http://schemas.openxmlformats.org/officeDocument/2006/relationships/hyperlink" Target="https://www.w3.org/WAI/WCAG22/Understanding/dragging-movements" TargetMode="External"/><Relationship Id="rId47" Type="http://schemas.openxmlformats.org/officeDocument/2006/relationships/hyperlink" Target="https://www.w3.org/WAI/WCAG22/Understanding/focus-visible" TargetMode="External"/><Relationship Id="rId49" Type="http://schemas.openxmlformats.org/officeDocument/2006/relationships/hyperlink" Target="https://www.w3.org/WAI/WCAG22/Understanding/target-size-minimum.html" TargetMode="External"/><Relationship Id="rId5" Type="http://schemas.openxmlformats.org/officeDocument/2006/relationships/hyperlink" Target="https://www.w3.org/WAI/WCAG22/Understanding/info-and-relationships" TargetMode="External"/><Relationship Id="rId6" Type="http://schemas.openxmlformats.org/officeDocument/2006/relationships/hyperlink" Target="https://www.w3.org/WAI/WCAG22/Understanding/meaningful-sequence" TargetMode="External"/><Relationship Id="rId7" Type="http://schemas.openxmlformats.org/officeDocument/2006/relationships/hyperlink" Target="https://www.w3.org/WAI/WCAG22/Understanding/sensory-characteristics" TargetMode="External"/><Relationship Id="rId8" Type="http://schemas.openxmlformats.org/officeDocument/2006/relationships/hyperlink" Target="https://www.w3.org/WAI/WCAG22/Understanding/use-of-color" TargetMode="External"/><Relationship Id="rId73" Type="http://schemas.openxmlformats.org/officeDocument/2006/relationships/hyperlink" Target="https://www.w3.org/TR/UNDERSTANDING-WCAG20/navigation-mechanisms-headings" TargetMode="External"/><Relationship Id="rId72" Type="http://schemas.openxmlformats.org/officeDocument/2006/relationships/hyperlink" Target="https://www.w3.org/WAI/WCAG22/Understanding/animation-from-interactions" TargetMode="External"/><Relationship Id="rId31" Type="http://schemas.openxmlformats.org/officeDocument/2006/relationships/hyperlink" Target="https://www.w3.org/WAI/WCAG22/Understanding/parsing" TargetMode="External"/><Relationship Id="rId75" Type="http://schemas.openxmlformats.org/officeDocument/2006/relationships/hyperlink" Target="https://www.w3.org/WAI/WCAG22/Understanding/focus-appearance" TargetMode="External"/><Relationship Id="rId30" Type="http://schemas.openxmlformats.org/officeDocument/2006/relationships/hyperlink" Target="https://www.w3.org/WAI/WCAG22/Understanding/redundant-entry" TargetMode="External"/><Relationship Id="rId74" Type="http://schemas.openxmlformats.org/officeDocument/2006/relationships/hyperlink" Target="https://www.w3.org/WAI/WCAG22/Understanding/focus-not-obscured-enhanced" TargetMode="External"/><Relationship Id="rId33" Type="http://schemas.openxmlformats.org/officeDocument/2006/relationships/hyperlink" Target="https://www.w3.org/WAI/WCAG22/Understanding/captions-live" TargetMode="External"/><Relationship Id="rId77" Type="http://schemas.openxmlformats.org/officeDocument/2006/relationships/hyperlink" Target="https://www.w3.org/WAI/WCAG22/Understanding/link-purpose-link-only" TargetMode="External"/><Relationship Id="rId32" Type="http://schemas.openxmlformats.org/officeDocument/2006/relationships/hyperlink" Target="https://www.w3.org/WAI/WCAG22/Understanding/name-role-value" TargetMode="External"/><Relationship Id="rId76" Type="http://schemas.openxmlformats.org/officeDocument/2006/relationships/hyperlink" Target="https://www.w3.org/WAI/WCAG22/Understanding/location" TargetMode="External"/><Relationship Id="rId35" Type="http://schemas.openxmlformats.org/officeDocument/2006/relationships/hyperlink" Target="https://www.w3.org/WAI/WCAG22/Understanding/orientation" TargetMode="External"/><Relationship Id="rId79" Type="http://schemas.openxmlformats.org/officeDocument/2006/relationships/hyperlink" Target="https://www.w3.org/WAI/WCAG22/Understanding/concurrent-input-mechanisms" TargetMode="External"/><Relationship Id="rId34" Type="http://schemas.openxmlformats.org/officeDocument/2006/relationships/hyperlink" Target="https://www.w3.org/WAI/WCAG22/Understanding/audio-description-prerecorded" TargetMode="External"/><Relationship Id="rId78" Type="http://schemas.openxmlformats.org/officeDocument/2006/relationships/hyperlink" Target="https://www.w3.org/WAI/WCAG22/Understanding/target-size" TargetMode="External"/><Relationship Id="rId71" Type="http://schemas.openxmlformats.org/officeDocument/2006/relationships/hyperlink" Target="https://www.w3.org/WAI/WCAG22/Understanding/three-flashes" TargetMode="External"/><Relationship Id="rId70" Type="http://schemas.openxmlformats.org/officeDocument/2006/relationships/hyperlink" Target="https://www.w3.org/WAI/WCAG22/Understanding/timeouts" TargetMode="External"/><Relationship Id="rId37" Type="http://schemas.openxmlformats.org/officeDocument/2006/relationships/hyperlink" Target="https://www.w3.org/WAI/WCAG22/Understanding/reflow.html" TargetMode="External"/><Relationship Id="rId36" Type="http://schemas.openxmlformats.org/officeDocument/2006/relationships/hyperlink" Target="https://www.w3.org/WAI/WCAG22/Understanding/identify-input-purpose" TargetMode="External"/><Relationship Id="rId39" Type="http://schemas.openxmlformats.org/officeDocument/2006/relationships/hyperlink" Target="https://www.w3.org/WAI/WCAG22/Understanding/text-spacing" TargetMode="External"/><Relationship Id="rId38" Type="http://schemas.openxmlformats.org/officeDocument/2006/relationships/hyperlink" Target="https://www.w3.org/WAI/WCAG22/Understanding/non-text-contrast" TargetMode="External"/><Relationship Id="rId62" Type="http://schemas.openxmlformats.org/officeDocument/2006/relationships/hyperlink" Target="https://www.w3.org/WAI/WCAG22/Understanding/contrast-enhanced" TargetMode="External"/><Relationship Id="rId61" Type="http://schemas.openxmlformats.org/officeDocument/2006/relationships/hyperlink" Target="https://www.w3.org/WAI/WCAG22/Understanding/identify-purpose" TargetMode="External"/><Relationship Id="rId20" Type="http://schemas.openxmlformats.org/officeDocument/2006/relationships/hyperlink" Target="https://www.w3.org/WAI/WCAG22/Understanding/pointer-gestures.html" TargetMode="External"/><Relationship Id="rId64" Type="http://schemas.openxmlformats.org/officeDocument/2006/relationships/hyperlink" Target="https://www.w3.org/WAI/WCAG22/Understanding/visual-presentation" TargetMode="External"/><Relationship Id="rId63" Type="http://schemas.openxmlformats.org/officeDocument/2006/relationships/hyperlink" Target="https://www.w3.org/WAI/WCAG22/Understanding/low-or-no-background-audio" TargetMode="External"/><Relationship Id="rId22" Type="http://schemas.openxmlformats.org/officeDocument/2006/relationships/hyperlink" Target="https://www.w3.org/WAI/WCAG22/Understanding/label-in-name" TargetMode="External"/><Relationship Id="rId66" Type="http://schemas.openxmlformats.org/officeDocument/2006/relationships/hyperlink" Target="https://www.w3.org/WAI/WCAG22/Understanding/keyboard-no-exception" TargetMode="External"/><Relationship Id="rId21" Type="http://schemas.openxmlformats.org/officeDocument/2006/relationships/hyperlink" Target="https://www.w3.org/WAI/WCAG22/Understanding/pointer-cancellation" TargetMode="External"/><Relationship Id="rId65" Type="http://schemas.openxmlformats.org/officeDocument/2006/relationships/hyperlink" Target="https://www.w3.org/WAI/WCAG22/Understanding/images-of-text-no-exception" TargetMode="External"/><Relationship Id="rId24" Type="http://schemas.openxmlformats.org/officeDocument/2006/relationships/hyperlink" Target="https://www.w3.org/WAI/WCAG22/Understanding/language-of-page" TargetMode="External"/><Relationship Id="rId68" Type="http://schemas.openxmlformats.org/officeDocument/2006/relationships/hyperlink" Target="https://www.w3.org/WAI/WCAG22/Understanding/interruptions" TargetMode="External"/><Relationship Id="rId23" Type="http://schemas.openxmlformats.org/officeDocument/2006/relationships/hyperlink" Target="https://www.w3.org/WAI/WCAG22/Understanding/motion-actuation" TargetMode="External"/><Relationship Id="rId67" Type="http://schemas.openxmlformats.org/officeDocument/2006/relationships/hyperlink" Target="https://www.w3.org/WAI/WCAG22/Understanding/no-timing" TargetMode="External"/><Relationship Id="rId60" Type="http://schemas.openxmlformats.org/officeDocument/2006/relationships/hyperlink" Target="https://www.w3.org/WAI/WCAG22/Understanding/audio-only-live" TargetMode="External"/><Relationship Id="rId26" Type="http://schemas.openxmlformats.org/officeDocument/2006/relationships/hyperlink" Target="https://www.w3.org/WAI/WCAG22/Understanding/on-input" TargetMode="External"/><Relationship Id="rId25" Type="http://schemas.openxmlformats.org/officeDocument/2006/relationships/hyperlink" Target="https://www.w3.org/WAI/WCAG22/Understanding/on-focus" TargetMode="External"/><Relationship Id="rId69" Type="http://schemas.openxmlformats.org/officeDocument/2006/relationships/hyperlink" Target="https://www.w3.org/WAI/WCAG22/Understanding/re-authenticating" TargetMode="External"/><Relationship Id="rId28" Type="http://schemas.openxmlformats.org/officeDocument/2006/relationships/hyperlink" Target="https://www.w3.org/WAI/WCAG22/Understanding/error-identification" TargetMode="External"/><Relationship Id="rId27" Type="http://schemas.openxmlformats.org/officeDocument/2006/relationships/hyperlink" Target="https://www.w3.org/WAI/WCAG22/Understanding/consistent-help" TargetMode="External"/><Relationship Id="rId29" Type="http://schemas.openxmlformats.org/officeDocument/2006/relationships/hyperlink" Target="https://www.w3.org/WAI/WCAG22/Understanding/labels-or-instructions" TargetMode="External"/><Relationship Id="rId51" Type="http://schemas.openxmlformats.org/officeDocument/2006/relationships/hyperlink" Target="https://www.w3.org/WAI/WCAG22/Understanding/consistent-navigation" TargetMode="External"/><Relationship Id="rId50" Type="http://schemas.openxmlformats.org/officeDocument/2006/relationships/hyperlink" Target="https://www.w3.org/WAI/WCAG22/Understanding/language-of-parts" TargetMode="External"/><Relationship Id="rId53" Type="http://schemas.openxmlformats.org/officeDocument/2006/relationships/hyperlink" Target="https://www.w3.org/WAI/WCAG22/Understanding/error-suggestion" TargetMode="External"/><Relationship Id="rId52" Type="http://schemas.openxmlformats.org/officeDocument/2006/relationships/hyperlink" Target="https://www.w3.org/WAI/WCAG22/Understanding/consistent-identification" TargetMode="External"/><Relationship Id="rId11" Type="http://schemas.openxmlformats.org/officeDocument/2006/relationships/hyperlink" Target="https://www.w3.org/WAI/WCAG22/Understanding/no-keyboard-trap" TargetMode="External"/><Relationship Id="rId55" Type="http://schemas.openxmlformats.org/officeDocument/2006/relationships/hyperlink" Target="https://www.w3.org/WAI/WCAG22/Understanding/accessible-authentication-minimum" TargetMode="External"/><Relationship Id="rId10" Type="http://schemas.openxmlformats.org/officeDocument/2006/relationships/hyperlink" Target="https://www.w3.org/WAI/WCAG22/Understanding/keyboard" TargetMode="External"/><Relationship Id="rId54" Type="http://schemas.openxmlformats.org/officeDocument/2006/relationships/hyperlink" Target="https://www.w3.org/WAI/WCAG22/Understanding/error-prevention-legal-financial-data" TargetMode="External"/><Relationship Id="rId13" Type="http://schemas.openxmlformats.org/officeDocument/2006/relationships/hyperlink" Target="https://www.w3.org/WAI/WCAG22/Understanding/timing-adjustable" TargetMode="External"/><Relationship Id="rId57" Type="http://schemas.openxmlformats.org/officeDocument/2006/relationships/hyperlink" Target="https://www.w3.org/WAI/WCAG22/Understanding/sign-language-prerecorded" TargetMode="External"/><Relationship Id="rId12" Type="http://schemas.openxmlformats.org/officeDocument/2006/relationships/hyperlink" Target="https://www.w3.org/WAI/WCAG22/Understanding/character-key-shortcuts" TargetMode="External"/><Relationship Id="rId56" Type="http://schemas.openxmlformats.org/officeDocument/2006/relationships/hyperlink" Target="https://www.w3.org/WAI/WCAG22/Understanding/status-messages" TargetMode="External"/><Relationship Id="rId91" Type="http://schemas.openxmlformats.org/officeDocument/2006/relationships/hyperlink" Target="https://radancy.dev/a11y/" TargetMode="External"/><Relationship Id="rId90" Type="http://schemas.openxmlformats.org/officeDocument/2006/relationships/hyperlink" Target="https://radancy.dev/a11y/" TargetMode="External"/><Relationship Id="rId92" Type="http://schemas.openxmlformats.org/officeDocument/2006/relationships/drawing" Target="../drawings/drawing5.xml"/><Relationship Id="rId15" Type="http://schemas.openxmlformats.org/officeDocument/2006/relationships/hyperlink" Target="https://www.w3.org/WAI/WCAG22/Understanding/three-flashes-or-below-threshold" TargetMode="External"/><Relationship Id="rId59" Type="http://schemas.openxmlformats.org/officeDocument/2006/relationships/hyperlink" Target="https://www.w3.org/WAI/WCAG22/Understanding/media-alternative-prerecorded" TargetMode="External"/><Relationship Id="rId14" Type="http://schemas.openxmlformats.org/officeDocument/2006/relationships/hyperlink" Target="https://www.w3.org/WAI/WCAG22/Understanding/pause-stop-hide" TargetMode="External"/><Relationship Id="rId58" Type="http://schemas.openxmlformats.org/officeDocument/2006/relationships/hyperlink" Target="https://www.w3.org/WAI/WCAG22/Understanding/extended-audio-description-prerecorded" TargetMode="External"/><Relationship Id="rId17" Type="http://schemas.openxmlformats.org/officeDocument/2006/relationships/hyperlink" Target="https://www.w3.org/WAI/WCAG22/Understanding/page-titled" TargetMode="External"/><Relationship Id="rId16" Type="http://schemas.openxmlformats.org/officeDocument/2006/relationships/hyperlink" Target="https://www.w3.org/WAI/WCAG22/Understanding/bypass-blocks" TargetMode="External"/><Relationship Id="rId19" Type="http://schemas.openxmlformats.org/officeDocument/2006/relationships/hyperlink" Target="https://www.w3.org/WAI/WCAG22/Understanding/link-purpose-in-context" TargetMode="External"/><Relationship Id="rId18" Type="http://schemas.openxmlformats.org/officeDocument/2006/relationships/hyperlink" Target="https://www.w3.org/WAI/WCAG22/Understanding/focus-order"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E00EF"/>
    <outlinePr summaryBelow="0" summaryRight="0"/>
    <pageSetUpPr/>
  </sheetPr>
  <sheetViews>
    <sheetView showGridLines="0" workbookViewId="0"/>
  </sheetViews>
  <sheetFormatPr customHeight="1" defaultColWidth="12.63" defaultRowHeight="15.0"/>
  <cols>
    <col customWidth="1" min="1" max="1" width="36.25"/>
    <col customWidth="1" min="2" max="3" width="12.63"/>
    <col customWidth="1" min="4" max="4" width="22.25"/>
    <col customWidth="1" min="5" max="5" width="6.38"/>
    <col customWidth="1" min="6" max="7" width="18.25"/>
    <col customWidth="1" min="8" max="16" width="9.13"/>
    <col customWidth="1" min="17" max="17" width="12.75"/>
  </cols>
  <sheetData>
    <row r="1" ht="60.0" customHeight="1">
      <c r="A1" s="2"/>
      <c r="E1" s="3"/>
      <c r="F1" s="5" t="s">
        <v>19</v>
      </c>
      <c r="G1" s="6"/>
      <c r="H1" s="6"/>
      <c r="I1" s="6"/>
      <c r="J1" s="6"/>
      <c r="K1" s="6"/>
      <c r="L1" s="6"/>
      <c r="M1" s="6"/>
      <c r="N1" s="6"/>
      <c r="O1" s="6"/>
      <c r="P1" s="6"/>
      <c r="Q1" s="6"/>
    </row>
    <row r="2" ht="23.25" customHeight="1">
      <c r="A2" s="6"/>
      <c r="B2" s="6"/>
      <c r="C2" s="6"/>
      <c r="D2" s="6"/>
      <c r="F2" s="8" t="s">
        <v>34</v>
      </c>
      <c r="G2" s="8" t="s">
        <v>35</v>
      </c>
      <c r="H2" s="9" t="s">
        <v>36</v>
      </c>
      <c r="I2" s="9" t="s">
        <v>39</v>
      </c>
      <c r="J2" s="9" t="s">
        <v>40</v>
      </c>
      <c r="K2" s="9" t="s">
        <v>41</v>
      </c>
      <c r="L2" s="12" t="s">
        <v>42</v>
      </c>
      <c r="M2" s="12" t="s">
        <v>44</v>
      </c>
      <c r="N2" s="12" t="s">
        <v>45</v>
      </c>
      <c r="O2" s="12" t="s">
        <v>46</v>
      </c>
      <c r="P2" s="12" t="s">
        <v>48</v>
      </c>
      <c r="Q2" s="15" t="s">
        <v>51</v>
      </c>
    </row>
    <row r="3" ht="30.0" customHeight="1">
      <c r="A3" s="17" t="s">
        <v>53</v>
      </c>
      <c r="B3" s="19" t="s">
        <v>52</v>
      </c>
      <c r="C3" s="20"/>
      <c r="D3" s="22"/>
      <c r="F3" s="24">
        <f>COUNTIF('Accessibility Report'!X:X,"Fail")</f>
        <v>1</v>
      </c>
      <c r="G3" s="26">
        <f>COUNTIF('Accessibility Report'!X:X,"Pass")</f>
        <v>1</v>
      </c>
      <c r="H3" s="28">
        <f>COUNTIF('Accessibility Report'!W:W,"Critical")</f>
        <v>1</v>
      </c>
      <c r="I3" s="29">
        <f>COUNTIF('Accessibility Report'!W:W,"Serious")</f>
        <v>0</v>
      </c>
      <c r="J3" s="30">
        <f>COUNTIF('Accessibility Report'!W:W,"Moderate")</f>
        <v>0</v>
      </c>
      <c r="K3" s="31">
        <f>COUNTIF('Accessibility Report'!W:W,"Minor")</f>
        <v>1</v>
      </c>
      <c r="L3" s="33">
        <f>COUNTIF('Accessibility Report'!C:C,"A")+COUNTIF('Accessibility Report'!G:G,"A")+COUNTIF('Accessibility Report'!K:K,"A")</f>
        <v>3</v>
      </c>
      <c r="M3" s="33">
        <f>COUNTIF('Accessibility Report'!C:C,"AA")+COUNTIF('Accessibility Report'!G:G,"AA")+COUNTIF('Accessibility Report'!K:K,"AA")</f>
        <v>1</v>
      </c>
      <c r="N3" s="33">
        <f>COUNTIF('Accessibility Report'!C:C,"AAA")+COUNTIF('Accessibility Report'!G:G,"AAA")+COUNTIF('Accessibility Report'!K:K,"AAA")</f>
        <v>0</v>
      </c>
      <c r="O3" s="34">
        <f>COUNTIF('Accessibility Report'!C:C,"BP")+COUNTIF('Accessibility Report'!G:G,"BP")+COUNTIF('Accessibility Report'!K:K,"BP")</f>
        <v>0</v>
      </c>
      <c r="P3" s="34">
        <f>COUNTIF('Accessibility Report'!C:C,"Auto")+COUNTIF('Accessibility Report'!G:G,"Auto")+COUNTIF('Accessibility Report'!K:K,"Auto")</f>
        <v>1</v>
      </c>
      <c r="Q3" s="37">
        <f>COUNTA('Accessibility Report'!A:A)-1</f>
        <v>2</v>
      </c>
    </row>
    <row r="4" ht="30.0" customHeight="1">
      <c r="A4" s="39" t="s">
        <v>88</v>
      </c>
      <c r="B4" s="40">
        <v>45577.0</v>
      </c>
      <c r="C4" s="20"/>
      <c r="D4" s="22"/>
      <c r="F4" s="41" t="s">
        <v>90</v>
      </c>
    </row>
    <row r="5" ht="30.0" customHeight="1">
      <c r="A5" s="17" t="s">
        <v>92</v>
      </c>
      <c r="B5" s="42"/>
      <c r="C5" s="20"/>
      <c r="D5" s="22"/>
    </row>
    <row r="6" ht="30.0" customHeight="1">
      <c r="A6" s="43" t="s">
        <v>95</v>
      </c>
      <c r="B6" s="42"/>
      <c r="C6" s="20"/>
      <c r="D6" s="22"/>
      <c r="F6" s="44" t="s">
        <v>25</v>
      </c>
      <c r="G6" s="22"/>
      <c r="H6" s="9" t="s">
        <v>36</v>
      </c>
      <c r="I6" s="9" t="s">
        <v>39</v>
      </c>
      <c r="J6" s="9" t="s">
        <v>40</v>
      </c>
      <c r="K6" s="9" t="s">
        <v>41</v>
      </c>
      <c r="L6" s="12" t="s">
        <v>42</v>
      </c>
      <c r="M6" s="12" t="s">
        <v>44</v>
      </c>
      <c r="N6" s="12" t="s">
        <v>45</v>
      </c>
      <c r="O6" s="12" t="s">
        <v>46</v>
      </c>
      <c r="P6" s="12" t="s">
        <v>48</v>
      </c>
      <c r="Q6" s="15" t="s">
        <v>51</v>
      </c>
    </row>
    <row r="7" ht="30.0" customHeight="1">
      <c r="A7" s="48" t="s">
        <v>99</v>
      </c>
      <c r="B7" s="52" t="s">
        <v>100</v>
      </c>
      <c r="C7" s="20"/>
      <c r="D7" s="22"/>
      <c r="F7" s="53" t="s">
        <v>104</v>
      </c>
      <c r="G7" s="6"/>
      <c r="H7" s="55">
        <f>COUNTIFS('Accessibility Report'!Y:Y, "Development Support Traffic", 'Accessibility Report'!W:W, "Critical")
</f>
        <v>0</v>
      </c>
      <c r="I7" s="57">
        <f>COUNTIFS('Accessibility Report'!Y:Y, "Development Support Traffic", 'Accessibility Report'!W:W, "Serious")</f>
        <v>0</v>
      </c>
      <c r="J7" s="58">
        <f>COUNTIFS('Accessibility Report'!Y:Y, "Development Support Traffic", 'Accessibility Report'!W:W, "Moderate")</f>
        <v>0</v>
      </c>
      <c r="K7" s="59">
        <f>COUNTIFS('Accessibility Report'!Y:Y, "Development Support Traffic", 'Accessibility Report'!W:W, "Minor")</f>
        <v>0</v>
      </c>
      <c r="L7" s="62">
        <f>COUNTIFS('Accessibility Report'!C:C,"A",'Accessibility Report'!Y:Y,"Development Support Traffic")+COUNTIFS('Accessibility Report'!G:G,"A",'Accessibility Report'!Y:Y,"Development Support Traffic")+COUNTIFS('Accessibility Report'!K:K,"A",'Accessibility Report'!Y:Y,"Development Support Traffic")</f>
        <v>0</v>
      </c>
      <c r="M7" s="62">
        <f>COUNTIFS('Accessibility Report'!C:C,"AA",'Accessibility Report'!Y:Y,"Development Support Traffic")+COUNTIFS('Accessibility Report'!G:G,"AA",'Accessibility Report'!Y:Y,"Development Support Traffic")+COUNTIFS('Accessibility Report'!K:K,"AA",'Accessibility Report'!Y:Y,"Development Support Traffic")</f>
        <v>0</v>
      </c>
      <c r="N7" s="62">
        <f>COUNTIFS('Accessibility Report'!C:C,"AAA",'Accessibility Report'!Y:Y,"Development Support Traffic")+COUNTIFS('Accessibility Report'!G:G,"AAA",'Accessibility Report'!Y:Y,"Development Support Traffic")+COUNTIFS('Accessibility Report'!K:K,"AAA",'Accessibility Report'!Y:Y,"Development Support Traffic")</f>
        <v>0</v>
      </c>
      <c r="O7" s="62">
        <f>COUNTIFS('Accessibility Report'!C:C,"BP",'Accessibility Report'!Y:Y,"Development Support Traffic")+COUNTIFS('Accessibility Report'!G:G,"BP",'Accessibility Report'!Y:Y,"Development Support Traffic")+COUNTIFS('Accessibility Report'!K:K,"BP",'Accessibility Report'!Y:Y,"Development Support Traffic")</f>
        <v>0</v>
      </c>
      <c r="P7" s="62">
        <f>COUNTIFS('Accessibility Report'!C:C,"Auto",'Accessibility Report'!Y:Y,"Development Support Traffic")+COUNTIFS('Accessibility Report'!G:G,"Auto",'Accessibility Report'!Y:Y,"Development Support Traffic")+COUNTIFS('Accessibility Report'!K:K,"Auto",'Accessibility Report'!Y:Y,"Development Support Traffic")</f>
        <v>0</v>
      </c>
      <c r="Q7" s="69">
        <f>COUNTIFS('Accessibility Report'!B:B,"&lt;&gt;",'Accessibility Report'!Y:Y,"Development Support Traffic")
</f>
        <v>0</v>
      </c>
    </row>
    <row r="8" ht="30.0" customHeight="1">
      <c r="A8" s="17" t="s">
        <v>159</v>
      </c>
      <c r="B8" s="72" t="s">
        <v>160</v>
      </c>
      <c r="C8" s="20"/>
      <c r="D8" s="22"/>
      <c r="F8" s="73" t="s">
        <v>164</v>
      </c>
      <c r="G8" s="20"/>
      <c r="H8" s="55">
        <f>COUNTIFS('Accessibility Report'!Y:Y, "Implementation Queue", 'Accessibility Report'!W:W, "Critical")
</f>
        <v>0</v>
      </c>
      <c r="I8" s="57">
        <f>COUNTIFS('Accessibility Report'!Y:Y, "Implementation Queue", 'Accessibility Report'!W:W, "Serious")</f>
        <v>0</v>
      </c>
      <c r="J8" s="58">
        <f>COUNTIFS('Accessibility Report'!Y:Y, "Implementation Queue", 'Accessibility Report'!W:W, "Moderate")</f>
        <v>0</v>
      </c>
      <c r="K8" s="59">
        <f>COUNTIFS('Accessibility Report'!Y:Y, "Implementation Queue", 'Accessibility Report'!W:W, "Minor")</f>
        <v>1</v>
      </c>
      <c r="L8" s="62">
        <f>COUNTIFS('Accessibility Report'!C:C,"A",'Accessibility Report'!Y:Y,"Implementation Queue")+COUNTIFS('Accessibility Report'!G:G,"A",'Accessibility Report'!Y:Y,"Implementation Queue")+COUNTIFS('Accessibility Report'!K:K,"A",'Accessibility Report'!Y:Y,"Development Support Traffic")</f>
        <v>1</v>
      </c>
      <c r="M8" s="62">
        <f>COUNTIFS('Accessibility Report'!C:C,"AA",'Accessibility Report'!Y:Y,"Implementation Queue")+COUNTIFS('Accessibility Report'!G:G,"AA",'Accessibility Report'!Y:Y,"Implementation Queue")+COUNTIFS('Accessibility Report'!K:K,"AA",'Accessibility Report'!Y:Y,"Development Support Traffic")</f>
        <v>1</v>
      </c>
      <c r="N8" s="62">
        <f>COUNTIFS('Accessibility Report'!C:C,"AAA",'Accessibility Report'!Y:Y,"Implementation Queue")+COUNTIFS('Accessibility Report'!G:G,"AAA",'Accessibility Report'!Y:Y,"Implementation Queue")+COUNTIFS('Accessibility Report'!K:K,"AAA",'Accessibility Report'!Y:Y,"Development Support Traffic")</f>
        <v>0</v>
      </c>
      <c r="O8" s="62">
        <f>COUNTIFS('Accessibility Report'!C:C,"BP",'Accessibility Report'!Y:Y,"Implementation Queue")+COUNTIFS('Accessibility Report'!G:G,"BP",'Accessibility Report'!Y:Y,"Implementation Queue")+COUNTIFS('Accessibility Report'!K:K,"BP",'Accessibility Report'!Y:Y,"Development Support Traffic")</f>
        <v>0</v>
      </c>
      <c r="P8" s="62">
        <f>COUNTIFS('Accessibility Report'!C:C,"Auto",'Accessibility Report'!Y:Y,"Implementation Queue")+COUNTIFS('Accessibility Report'!G:G,"Auto",'Accessibility Report'!Y:Y,"Implementation Queue")+COUNTIFS('Accessibility Report'!K:K,"Auto",'Accessibility Report'!Y:Y,"Implementation Queue")</f>
        <v>0</v>
      </c>
      <c r="Q8" s="69">
        <f>COUNTIFS('Accessibility Report'!B:B,"&lt;&gt;",'Accessibility Report'!Y:Y,"Implementation Queue")
</f>
        <v>1</v>
      </c>
    </row>
    <row r="9" ht="30.0" customHeight="1">
      <c r="A9" s="74" t="s">
        <v>197</v>
      </c>
      <c r="B9" s="75" t="s">
        <v>201</v>
      </c>
      <c r="C9" s="76"/>
      <c r="D9" s="77"/>
      <c r="F9" s="78" t="s">
        <v>211</v>
      </c>
      <c r="G9" s="20"/>
      <c r="H9" s="55">
        <f>COUNTIFS('Accessibility Report'!Y:Y, "Accessibility Support", 'Accessibility Report'!W:W, "Critical")
</f>
        <v>0</v>
      </c>
      <c r="I9" s="57">
        <f>COUNTIFS('Accessibility Report'!Y:Y, "Accessibility Support", 'Accessibility Report'!W:W, "Serious")</f>
        <v>0</v>
      </c>
      <c r="J9" s="58">
        <f>COUNTIFS('Accessibility Report'!Y:Y, "Accessibility Support", 'Accessibility Report'!W:W, "Moderate")</f>
        <v>0</v>
      </c>
      <c r="K9" s="59">
        <f>COUNTIFS('Accessibility Report'!Y:Y, "Accessibility Support", 'Accessibility Report'!W:W, "Minor")</f>
        <v>0</v>
      </c>
      <c r="L9" s="62">
        <f>COUNTIFS('Accessibility Report'!C:C,"A",'Accessibility Report'!Y:Y,"Accessibility Support")+COUNTIFS('Accessibility Report'!G:G,"A",'Accessibility Report'!Y:Y,"Accessibility Support")+COUNTIFS('Accessibility Report'!K:K,"A",'Accessibility Report'!Y:Y,"Accessibility Support")</f>
        <v>0</v>
      </c>
      <c r="M9" s="62">
        <f>COUNTIFS('Accessibility Report'!C:C,"AA",'Accessibility Report'!Y:Y,"Accessibility Support")+COUNTIFS('Accessibility Report'!G:G,"AA",'Accessibility Report'!Y:Y,"Accessibility Support")+COUNTIFS('Accessibility Report'!K:K,"AA",'Accessibility Report'!Y:Y,"Accessibility Support")</f>
        <v>0</v>
      </c>
      <c r="N9" s="62">
        <f>COUNTIFS('Accessibility Report'!C:C,"AAA",'Accessibility Report'!Y:Y,"Accessibility Support")+COUNTIFS('Accessibility Report'!G:G,"AAA",'Accessibility Report'!Y:Y,"Accessibility Support")+COUNTIFS('Accessibility Report'!K:K,"AAA",'Accessibility Report'!Y:Y,"Accessibility Support")</f>
        <v>0</v>
      </c>
      <c r="O9" s="62">
        <f>COUNTIFS('Accessibility Report'!C:C,"BP",'Accessibility Report'!Y:Y,"Accessibility Support")+COUNTIFS('Accessibility Report'!G:G,"BP",'Accessibility Report'!Y:Y,"Accessibility Support")+COUNTIFS('Accessibility Report'!K:K,"BP",'Accessibility Report'!Y:Y,"Accessibility Support")</f>
        <v>0</v>
      </c>
      <c r="P9" s="62">
        <f>COUNTIFS('Accessibility Report'!C:C,"Auto",'Accessibility Report'!Y:Y,"Accessibility Support")+COUNTIFS('Accessibility Report'!G:G,"Auto",'Accessibility Report'!Y:Y,"Accessibility Support")+COUNTIFS('Accessibility Report'!K:K,"Auto",'Accessibility Report'!Y:Y,"Accessibility Support")</f>
        <v>0</v>
      </c>
      <c r="Q9" s="69">
        <f>COUNTIFS('Accessibility Report'!B:B,"&lt;&gt;",'Accessibility Report'!Y:Y,"Accessibility Support")
</f>
        <v>0</v>
      </c>
    </row>
    <row r="10" ht="30.0" customHeight="1">
      <c r="A10" s="80"/>
      <c r="B10" s="81"/>
      <c r="D10" s="82"/>
      <c r="F10" s="83" t="s">
        <v>244</v>
      </c>
      <c r="G10" s="20"/>
      <c r="H10" s="55">
        <f>COUNTIFS('Accessibility Report'!Y:Y, "Creative Support", 'Accessibility Report'!W:W, "Critical")
</f>
        <v>0</v>
      </c>
      <c r="I10" s="57">
        <f>COUNTIFS('Accessibility Report'!Y:Y, "Creative Support", 'Accessibility Report'!W:W, "Serious")</f>
        <v>0</v>
      </c>
      <c r="J10" s="58">
        <f>COUNTIFS('Accessibility Report'!Y:Y, "Creative Support", 'Accessibility Report'!W:W, "Moderate")</f>
        <v>0</v>
      </c>
      <c r="K10" s="59">
        <f>COUNTIFS('Accessibility Report'!Y:Y, "Creative Support", 'Accessibility Report'!W:W, "Minor")</f>
        <v>0</v>
      </c>
      <c r="L10" s="62">
        <f>COUNTIFS('Accessibility Report'!C:C,"A",'Accessibility Report'!Y:Y,"Creative Support")+COUNTIFS('Accessibility Report'!G:G,"A",'Accessibility Report'!Y:Y,"Creative Support")+COUNTIFS('Accessibility Report'!K:K,"A",'Accessibility Report'!Y:Y,"Creative Support")</f>
        <v>0</v>
      </c>
      <c r="M10" s="62">
        <f>COUNTIFS('Accessibility Report'!C:C,"AA",'Accessibility Report'!Y:Y,"Creative Support")+COUNTIFS('Accessibility Report'!G:G,"AA",'Accessibility Report'!Y:Y,"Creative Support")+COUNTIFS('Accessibility Report'!K:K,"AA",'Accessibility Report'!Y:Y,"Creative Support")</f>
        <v>0</v>
      </c>
      <c r="N10" s="62">
        <f>COUNTIFS('Accessibility Report'!C:C,"AAA",'Accessibility Report'!Y:Y,"Creative Support")+COUNTIFS('Accessibility Report'!G:G,"AAA",'Accessibility Report'!Y:Y,"Creative Support")+COUNTIFS('Accessibility Report'!K:K,"AAA",'Accessibility Report'!Y:Y,"Creative Support")</f>
        <v>0</v>
      </c>
      <c r="O10" s="62">
        <f>COUNTIFS('Accessibility Report'!C:C,"BP",'Accessibility Report'!Y:Y,"Creative Support")+COUNTIFS('Accessibility Report'!G:G,"BP",'Accessibility Report'!Y:Y,"Creative Support")+COUNTIFS('Accessibility Report'!K:K,"BP",'Accessibility Report'!Y:Y,"Creative Support")</f>
        <v>0</v>
      </c>
      <c r="P10" s="62">
        <f>COUNTIFS('Accessibility Report'!C:C,"Auto",'Accessibility Report'!Y:Y,"Creative Support")+COUNTIFS('Accessibility Report'!G:G,"Auto",'Accessibility Report'!Y:Y,"Creative Support")+COUNTIFS('Accessibility Report'!K:K,"Auto",'Accessibility Report'!Y:Y,"Creative Support")</f>
        <v>0</v>
      </c>
      <c r="Q10" s="69">
        <f>COUNTIFS('Accessibility Report'!B:B,"&lt;&gt;",'Accessibility Report'!Y:Y,"Creative Support")</f>
        <v>0</v>
      </c>
    </row>
    <row r="11" ht="30.0" customHeight="1">
      <c r="A11" s="80"/>
      <c r="B11" s="81"/>
      <c r="D11" s="82"/>
      <c r="F11" s="84" t="s">
        <v>275</v>
      </c>
      <c r="G11" s="22"/>
      <c r="H11" s="55">
        <f>COUNTIFS('Accessibility Report'!Y:Y, "Product Engineer", 'Accessibility Report'!W:W, "Critical")
</f>
        <v>0</v>
      </c>
      <c r="I11" s="57">
        <f>COUNTIFS('Accessibility Report'!Y:Y, "Product Engineer", 'Accessibility Report'!W:W, "Serious")</f>
        <v>0</v>
      </c>
      <c r="J11" s="58">
        <f>COUNTIFS('Accessibility Report'!Y:Y, "Product Engineer", 'Accessibility Report'!W:W, "Moderate")</f>
        <v>0</v>
      </c>
      <c r="K11" s="59">
        <f>COUNTIFS('Accessibility Report'!Y:Y, "Product Engineer", 'Accessibility Report'!W:W, "Minor")</f>
        <v>0</v>
      </c>
      <c r="L11" s="62">
        <f>COUNTIFS('Accessibility Report'!C:C,"A",'Accessibility Report'!Y:Y,"Product Engineer")+COUNTIFS('Accessibility Report'!G:G,"A",'Accessibility Report'!Y:Y,"Product Engineer")+COUNTIFS('Accessibility Report'!K:K,"A",'Accessibility Report'!Y:Y,"Product Engineer")</f>
        <v>0</v>
      </c>
      <c r="M11" s="62">
        <f>COUNTIFS('Accessibility Report'!C:C,"AA",'Accessibility Report'!Y:Y,"Product Engineer")+COUNTIFS('Accessibility Report'!G:G,"AA",'Accessibility Report'!Y:Y,"Product Engineer")+COUNTIFS('Accessibility Report'!K:K,"AA",'Accessibility Report'!Y:Y,"Product Engineer")</f>
        <v>0</v>
      </c>
      <c r="N11" s="62">
        <f>COUNTIFS('Accessibility Report'!C:C,"AAA",'Accessibility Report'!Y:Y,"Product Engineer")+COUNTIFS('Accessibility Report'!G:G,"AAA",'Accessibility Report'!Y:Y,"Product Engineer")+COUNTIFS('Accessibility Report'!K:K,"AAA",'Accessibility Report'!Y:Y,"Product Engineer")</f>
        <v>0</v>
      </c>
      <c r="O11" s="62">
        <f>COUNTIFS('Accessibility Report'!E:E,"BP",'Accessibility Report'!AA:AA,"Product Engineer")+COUNTIFS('Accessibility Report'!I:I,"BP",'Accessibility Report'!AA:AA,"Product Engineer")+COUNTIFS('Accessibility Report'!M:M,"BP",'Accessibility Report'!AA:AA,"Product Engineer")</f>
        <v>0</v>
      </c>
      <c r="P11" s="62">
        <f>COUNTIFS('Accessibility Report'!C:C,"Auto",'Accessibility Report'!Y:Y,"Product Engineer")+COUNTIFS('Accessibility Report'!G:G,"Auto",'Accessibility Report'!Y:Y,"Product Engineer")+COUNTIFS('Accessibility Report'!K:K,"Auto",'Accessibility Report'!Y:Y,"Product Engineer")</f>
        <v>0</v>
      </c>
      <c r="Q11" s="69">
        <f>COUNTIFS('Accessibility Report'!B:B,"&lt;&gt;",'Accessibility Report'!Y:Y,"Product Engineer")
</f>
        <v>0</v>
      </c>
    </row>
    <row r="12" ht="30.0" customHeight="1">
      <c r="A12" s="80"/>
      <c r="B12" s="81"/>
      <c r="D12" s="82"/>
      <c r="F12" s="85" t="s">
        <v>297</v>
      </c>
      <c r="G12" s="22"/>
      <c r="H12" s="55">
        <f>COUNTIFS('Accessibility Report'!Y:Y, "Product Owner", 'Accessibility Report'!W:W, "Critical")
</f>
        <v>0</v>
      </c>
      <c r="I12" s="57">
        <f>COUNTIFS('Accessibility Report'!Y:Y, "Product Owner", 'Accessibility Report'!W:W, "Serious")</f>
        <v>0</v>
      </c>
      <c r="J12" s="58">
        <f>COUNTIFS('Accessibility Report'!Y:Y, "Product Owner", 'Accessibility Report'!W:W, "Moderate")</f>
        <v>0</v>
      </c>
      <c r="K12" s="59">
        <f>COUNTIFS('Accessibility Report'!Y:Y, "Product Owner", 'Accessibility Report'!W:W, "Minor")</f>
        <v>0</v>
      </c>
      <c r="L12" s="62">
        <f>COUNTIFS('Accessibility Report'!C:C,"A",'Accessibility Report'!Y:Y,"Product Owner")+COUNTIFS('Accessibility Report'!G:G,"A",'Accessibility Report'!Y:Y,"Product Owner")+COUNTIFS('Accessibility Report'!K:K,"A",'Accessibility Report'!Y:Y,"Product Owner")</f>
        <v>0</v>
      </c>
      <c r="M12" s="62">
        <f>COUNTIFS('Accessibility Report'!C:C,"AA",'Accessibility Report'!Y:Y,"Product Owner")+COUNTIFS('Accessibility Report'!G:G,"AA",'Accessibility Report'!Y:Y,"Product Owner")+COUNTIFS('Accessibility Report'!K:K,"AA",'Accessibility Report'!Y:Y,"Product Owner")</f>
        <v>0</v>
      </c>
      <c r="N12" s="62">
        <f>COUNTIFS('Accessibility Report'!C:C,"AAA",'Accessibility Report'!Y:Y,"Product Owner")+COUNTIFS('Accessibility Report'!G:G,"AAA",'Accessibility Report'!Y:Y,"Product Owner")+COUNTIFS('Accessibility Report'!K:K,"AAA",'Accessibility Report'!Y:Y,"Product Owner")</f>
        <v>0</v>
      </c>
      <c r="O12" s="62">
        <f>COUNTIFS('Accessibility Report'!E:E,"BP",'Accessibility Report'!AA:AA,"Product Owner")+COUNTIFS('Accessibility Report'!I:I,"BP",'Accessibility Report'!AA:AA,"Product Owner")+COUNTIFS('Accessibility Report'!M:M,"BP",'Accessibility Report'!AA:AA,"Product Owner")</f>
        <v>0</v>
      </c>
      <c r="P12" s="62">
        <f>COUNTIFS('Accessibility Report'!C:C,"Auto",'Accessibility Report'!Y:Y,"Product Owner")+COUNTIFS('Accessibility Report'!G:G,"Auto",'Accessibility Report'!Y:Y,"Product Owner")+COUNTIFS('Accessibility Report'!K:K,"Auto",'Accessibility Report'!Y:Y,"Product Owner")</f>
        <v>0</v>
      </c>
      <c r="Q12" s="69">
        <f>COUNTIFS('Accessibility Report'!B:B,"&lt;&gt;",'Accessibility Report'!Y:Y,"Product Owner")
</f>
        <v>0</v>
      </c>
    </row>
    <row r="13" ht="30.0" customHeight="1">
      <c r="A13" s="80"/>
      <c r="B13" s="81"/>
      <c r="D13" s="82"/>
      <c r="F13" s="86" t="s">
        <v>323</v>
      </c>
      <c r="G13" s="22"/>
      <c r="H13" s="55">
        <f>COUNTIFS('Accessibility Report'!Y:Y, "CSS Support", 'Accessibility Report'!W:W, "Critical")
</f>
        <v>0</v>
      </c>
      <c r="I13" s="57">
        <f>COUNTIFS('Accessibility Report'!Y:Y, "CSS Support", 'Accessibility Report'!W:W, "Serious")</f>
        <v>0</v>
      </c>
      <c r="J13" s="58">
        <f>COUNTIFS('Accessibility Report'!Y:Y, "CSS Support", 'Accessibility Report'!W:W, "Moderate")</f>
        <v>0</v>
      </c>
      <c r="K13" s="59">
        <f>COUNTIFS('Accessibility Report'!Y:Y, "CSS Support", 'Accessibility Report'!W:W, "Minor")</f>
        <v>0</v>
      </c>
      <c r="L13" s="62">
        <f>COUNTIFS('Accessibility Report'!C:C,"A",'Accessibility Report'!Y:Y,"CSS Support")+COUNTIFS('Accessibility Report'!G:G,"A",'Accessibility Report'!Y:Y,"CSS Support")+COUNTIFS('Accessibility Report'!K:K,"A",'Accessibility Report'!Y:Y,"CSS Support")</f>
        <v>0</v>
      </c>
      <c r="M13" s="62">
        <f>COUNTIFS('Accessibility Report'!C:C,"AA",'Accessibility Report'!Y:Y,"CSS Support")+COUNTIFS('Accessibility Report'!G:G,"AA",'Accessibility Report'!Y:Y,"CSS Support")+COUNTIFS('Accessibility Report'!J:J,"AA",'Accessibility Report'!Y:Y,"CSS Support")</f>
        <v>0</v>
      </c>
      <c r="N13" s="62">
        <f>COUNTIFS('Accessibility Report'!C:C,"AAA",'Accessibility Report'!Y:Y,"CSS Support")+COUNTIFS('Accessibility Report'!G:G,"AAA",'Accessibility Report'!Y:Y,"CSS Support")+COUNTIFS('Accessibility Report'!K:K,"AAA",'Accessibility Report'!Y:Y,"CSS Support")</f>
        <v>0</v>
      </c>
      <c r="O13" s="62">
        <f>COUNTIFS('Accessibility Report'!C:C,"BP",'Accessibility Report'!Y:Y,"CSS Support")+COUNTIFS('Accessibility Report'!G:G,"BP",'Accessibility Report'!Y:Y,"CSS Support")+COUNTIFS('Accessibility Report'!K:K,"BP",'Accessibility Report'!Y:Y,"CSS Support")</f>
        <v>0</v>
      </c>
      <c r="P13" s="62">
        <f>COUNTIFS('Accessibility Report'!C:C,"Auto",'Accessibility Report'!Y:Y,"CSS Support")+COUNTIFS('Accessibility Report'!G:G,"Auto",'Accessibility Report'!Y:Y,"CSS Support")+COUNTIFS('Accessibility Report'!K:K,"Auto",'Accessibility Report'!Y:Y,"CSS Support")</f>
        <v>0</v>
      </c>
      <c r="Q13" s="69">
        <f>COUNTIFS('Accessibility Report'!B:B,"&lt;&gt;",'Accessibility Report'!Y:Y,"CSS Support")
</f>
        <v>0</v>
      </c>
    </row>
    <row r="14" ht="41.25" customHeight="1">
      <c r="A14" s="87"/>
      <c r="B14" s="88"/>
      <c r="C14" s="6"/>
      <c r="D14" s="89"/>
      <c r="F14" s="41" t="s">
        <v>348</v>
      </c>
    </row>
    <row r="15" ht="30.0" customHeight="1">
      <c r="A15" s="90" t="s">
        <v>349</v>
      </c>
      <c r="B15" s="92"/>
      <c r="C15" s="76"/>
      <c r="D15" s="77"/>
      <c r="F15" s="93" t="s">
        <v>36</v>
      </c>
      <c r="G15" s="22"/>
      <c r="H15" s="95" t="s">
        <v>353</v>
      </c>
      <c r="I15" s="96"/>
      <c r="J15" s="96"/>
      <c r="K15" s="96"/>
      <c r="L15" s="96"/>
      <c r="M15" s="96"/>
      <c r="N15" s="96"/>
      <c r="O15" s="96"/>
      <c r="P15" s="96"/>
      <c r="Q15" s="97"/>
    </row>
    <row r="16" ht="30.0" customHeight="1">
      <c r="A16" s="80"/>
      <c r="B16" s="81"/>
      <c r="D16" s="82"/>
      <c r="F16" s="98" t="s">
        <v>39</v>
      </c>
      <c r="G16" s="22"/>
      <c r="H16" s="99" t="s">
        <v>357</v>
      </c>
      <c r="I16" s="100"/>
      <c r="J16" s="100"/>
      <c r="K16" s="100"/>
      <c r="L16" s="100"/>
      <c r="M16" s="100"/>
      <c r="N16" s="100"/>
      <c r="O16" s="100"/>
      <c r="P16" s="100"/>
      <c r="Q16" s="101"/>
    </row>
    <row r="17" ht="30.0" customHeight="1">
      <c r="A17" s="80"/>
      <c r="B17" s="81"/>
      <c r="D17" s="82"/>
      <c r="F17" s="102" t="s">
        <v>40</v>
      </c>
      <c r="G17" s="22"/>
      <c r="H17" s="103" t="s">
        <v>358</v>
      </c>
    </row>
    <row r="18" ht="30.0" customHeight="1">
      <c r="A18" s="80"/>
      <c r="B18" s="81"/>
      <c r="D18" s="82"/>
      <c r="F18" s="104" t="s">
        <v>41</v>
      </c>
      <c r="G18" s="22"/>
      <c r="H18" s="103" t="s">
        <v>359</v>
      </c>
    </row>
    <row r="19" ht="82.5" customHeight="1">
      <c r="A19" s="87"/>
      <c r="B19" s="88"/>
      <c r="C19" s="6"/>
      <c r="D19" s="89"/>
      <c r="F19" s="105" t="s">
        <v>360</v>
      </c>
      <c r="Q19" s="106"/>
    </row>
    <row r="20" ht="41.25" customHeight="1">
      <c r="A20" s="107" t="s">
        <v>361</v>
      </c>
      <c r="Q20" s="106"/>
    </row>
    <row r="21" ht="30.0" customHeight="1">
      <c r="A21" s="108" t="s">
        <v>362</v>
      </c>
      <c r="B21" s="109">
        <f>SUMIF('Accessibility Report'!Y:Y, "Development Support Traffic", 'Accessibility Report'!AF:AF)</f>
        <v>0</v>
      </c>
      <c r="C21" s="20"/>
      <c r="D21" s="22"/>
      <c r="F21" s="110"/>
      <c r="Q21" s="106"/>
    </row>
    <row r="22" ht="30.0" customHeight="1">
      <c r="A22" s="111" t="s">
        <v>363</v>
      </c>
      <c r="B22" s="109">
        <f>SUMIF('Accessibility Report'!Y:Y, "Implementation Queue", 'Accessibility Report'!AF:AF)</f>
        <v>3</v>
      </c>
      <c r="C22" s="20"/>
      <c r="D22" s="22"/>
      <c r="F22" s="112"/>
      <c r="Q22" s="106"/>
    </row>
    <row r="23" ht="30.0" customHeight="1">
      <c r="A23" s="39" t="s">
        <v>364</v>
      </c>
      <c r="B23" s="109">
        <f>SUMIF('Accessibility Report'!Y:Y, "Accessibility Support", 'Accessibility Report'!AF:AF)</f>
        <v>0</v>
      </c>
      <c r="C23" s="20"/>
      <c r="D23" s="22"/>
      <c r="F23" s="112"/>
      <c r="Q23" s="106"/>
    </row>
    <row r="24" ht="30.0" customHeight="1">
      <c r="A24" s="113" t="s">
        <v>365</v>
      </c>
      <c r="B24" s="109">
        <f>SUMIF('Accessibility Report'!Y:Y, "Creative Support", 'Accessibility Report'!AF:AF)</f>
        <v>0</v>
      </c>
      <c r="C24" s="20"/>
      <c r="D24" s="22"/>
      <c r="F24" s="112"/>
      <c r="Q24" s="106"/>
    </row>
    <row r="25" ht="30.0" customHeight="1">
      <c r="A25" s="114" t="s">
        <v>275</v>
      </c>
      <c r="B25" s="52">
        <f>SUMIF('Accessibility Report'!Y:Y, "Product Engineer", 'Accessibility Report'!AF:AF)</f>
        <v>0</v>
      </c>
      <c r="C25" s="20"/>
      <c r="D25" s="22"/>
      <c r="F25" s="115" t="s">
        <v>366</v>
      </c>
      <c r="Q25" s="106"/>
    </row>
    <row r="26" ht="30.0" customHeight="1">
      <c r="A26" s="116" t="s">
        <v>297</v>
      </c>
      <c r="B26" s="52">
        <f>SUMIF('Accessibility Report'!Y:Y, "Product Owner", 'Accessibility Report'!AF:AF)</f>
        <v>0</v>
      </c>
      <c r="C26" s="20"/>
      <c r="D26" s="22"/>
      <c r="F26" s="112"/>
      <c r="Q26" s="106"/>
    </row>
    <row r="27" ht="30.0" customHeight="1">
      <c r="A27" s="117" t="s">
        <v>367</v>
      </c>
      <c r="B27" s="109">
        <f>SUMIF('Accessibility Report'!Y:Y, "CSS Support", 'Accessibility Report'!AF:AF)</f>
        <v>0</v>
      </c>
      <c r="C27" s="20"/>
      <c r="D27" s="22"/>
      <c r="F27" s="112"/>
      <c r="Q27" s="106"/>
    </row>
    <row r="28" ht="30.0" customHeight="1">
      <c r="A28" s="118" t="s">
        <v>368</v>
      </c>
      <c r="B28" s="109">
        <f>SUM('Accessibility Report'!AF:AF)</f>
        <v>4.25</v>
      </c>
      <c r="C28" s="20"/>
      <c r="D28" s="22"/>
      <c r="E28" s="119"/>
      <c r="F28" s="120"/>
      <c r="G28" s="96"/>
      <c r="H28" s="96"/>
      <c r="I28" s="96"/>
      <c r="J28" s="96"/>
      <c r="K28" s="96"/>
      <c r="L28" s="96"/>
      <c r="M28" s="96"/>
      <c r="N28" s="96"/>
      <c r="O28" s="96"/>
      <c r="P28" s="96"/>
      <c r="Q28" s="97"/>
    </row>
  </sheetData>
  <mergeCells count="43">
    <mergeCell ref="B6:D6"/>
    <mergeCell ref="F6:G6"/>
    <mergeCell ref="B7:D7"/>
    <mergeCell ref="F7:G7"/>
    <mergeCell ref="B8:D8"/>
    <mergeCell ref="F8:G8"/>
    <mergeCell ref="A9:A14"/>
    <mergeCell ref="B9:D14"/>
    <mergeCell ref="F9:G9"/>
    <mergeCell ref="F10:G10"/>
    <mergeCell ref="F11:G11"/>
    <mergeCell ref="F12:G12"/>
    <mergeCell ref="A15:A19"/>
    <mergeCell ref="B15:D19"/>
    <mergeCell ref="B25:D25"/>
    <mergeCell ref="F25:Q28"/>
    <mergeCell ref="B26:D26"/>
    <mergeCell ref="B27:D27"/>
    <mergeCell ref="B28:D28"/>
    <mergeCell ref="A1:D2"/>
    <mergeCell ref="E1:E28"/>
    <mergeCell ref="F1:Q1"/>
    <mergeCell ref="B3:D3"/>
    <mergeCell ref="B4:D4"/>
    <mergeCell ref="F4:Q5"/>
    <mergeCell ref="B5:D5"/>
    <mergeCell ref="F13:G13"/>
    <mergeCell ref="F14:Q14"/>
    <mergeCell ref="F15:G15"/>
    <mergeCell ref="H15:Q15"/>
    <mergeCell ref="F16:G16"/>
    <mergeCell ref="H16:Q16"/>
    <mergeCell ref="F17:G17"/>
    <mergeCell ref="H17:Q17"/>
    <mergeCell ref="F18:G18"/>
    <mergeCell ref="H18:Q18"/>
    <mergeCell ref="F19:Q20"/>
    <mergeCell ref="A20:D20"/>
    <mergeCell ref="B21:D21"/>
    <mergeCell ref="F21:Q24"/>
    <mergeCell ref="B22:D22"/>
    <mergeCell ref="B23:D23"/>
    <mergeCell ref="B24:D24"/>
  </mergeCells>
  <conditionalFormatting sqref="B21:D28">
    <cfRule type="cellIs" dxfId="14" priority="1" operator="greaterThan">
      <formula>40</formula>
    </cfRule>
  </conditionalFormatting>
  <dataValidations>
    <dataValidation type="list" allowBlank="1" sqref="B8">
      <formula1>"Michael Spellacy (michael.spellacy@radancy.com),Rebecca Hammer (rebecca.hammer@radancy.com),Carla Goncalves (carla.goncalves@radancy.com)"</formula1>
    </dataValidation>
    <dataValidation type="list" allowBlank="1" showErrorMessage="1" sqref="B7">
      <formula1>"WCAG 2.2 A,WCAG 2.2 AA (Includes Level A),WCAG 2.2 AAA (Includes Level A &amp; AA)"</formula1>
    </dataValidation>
  </dataValidations>
  <hyperlinks>
    <hyperlink r:id="rId1" ref="B9"/>
  </hyperlinks>
  <printOptions/>
  <pageMargins bottom="0.0" footer="0.0" header="0.0" left="0.0" right="0.0" top="0.0"/>
  <pageSetup orientation="landscape"/>
  <drawing r:id="rId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0000"/>
    <outlinePr summaryBelow="0" summaryRight="0"/>
    <pageSetUpPr/>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0"/>
  <cols>
    <col customWidth="1" min="1" max="1" width="17.88"/>
    <col customWidth="1" min="2" max="2" width="21.75"/>
    <col customWidth="1" hidden="1" min="3" max="3" width="8.63"/>
    <col customWidth="1" hidden="1" min="4" max="4" width="25.0"/>
    <col customWidth="1" hidden="1" min="5" max="5" width="19.63"/>
    <col customWidth="1" min="6" max="6" width="19.63"/>
    <col customWidth="1" hidden="1" min="7" max="9" width="19.63"/>
    <col customWidth="1" min="10" max="10" width="19.63"/>
    <col customWidth="1" hidden="1" min="11" max="13" width="19.63"/>
    <col customWidth="1" min="14" max="14" width="25.13"/>
    <col customWidth="1" min="15" max="15" width="23.38"/>
    <col customWidth="1" hidden="1" min="16" max="16" width="23.38"/>
    <col customWidth="1" min="17" max="17" width="67.63"/>
    <col customWidth="1" hidden="1" min="18" max="18" width="38.13"/>
    <col customWidth="1" min="19" max="19" width="27.63"/>
    <col customWidth="1" min="20" max="20" width="14.5"/>
    <col customWidth="1" hidden="1" min="21" max="21" width="23.75"/>
    <col customWidth="1" hidden="1" min="22" max="22" width="26.38"/>
    <col customWidth="1" min="23" max="24" width="15.13"/>
    <col customWidth="1" min="25" max="25" width="20.38"/>
    <col customWidth="1" min="26" max="26" width="15.13"/>
    <col customWidth="1" hidden="1" min="27" max="28" width="15.13"/>
    <col customWidth="1" min="29" max="29" width="19.63"/>
    <col customWidth="1" min="30" max="30" width="34.38"/>
    <col customWidth="1" hidden="1" min="31" max="31" width="20.88"/>
    <col customWidth="1" min="32" max="32" width="11.38"/>
  </cols>
  <sheetData>
    <row r="1" ht="41.25" customHeight="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4" t="s">
        <v>20</v>
      </c>
      <c r="U1" s="1" t="s">
        <v>21</v>
      </c>
      <c r="V1" s="1" t="s">
        <v>22</v>
      </c>
      <c r="W1" s="1" t="s">
        <v>23</v>
      </c>
      <c r="X1" s="1" t="s">
        <v>24</v>
      </c>
      <c r="Y1" s="1" t="s">
        <v>25</v>
      </c>
      <c r="Z1" s="1" t="s">
        <v>26</v>
      </c>
      <c r="AA1" s="1" t="s">
        <v>27</v>
      </c>
      <c r="AB1" s="1" t="s">
        <v>28</v>
      </c>
      <c r="AC1" s="1" t="s">
        <v>29</v>
      </c>
      <c r="AD1" s="1" t="s">
        <v>30</v>
      </c>
      <c r="AE1" s="1" t="s">
        <v>31</v>
      </c>
      <c r="AF1" s="1" t="s">
        <v>32</v>
      </c>
    </row>
    <row r="2">
      <c r="A2" s="7" t="s">
        <v>33</v>
      </c>
      <c r="B2" s="10" t="s">
        <v>37</v>
      </c>
      <c r="C2" s="21" t="str">
        <f>IFERROR(VLOOKUP(B2,WCAGLookup,2,FALSE),"")</f>
        <v>A</v>
      </c>
      <c r="D2" s="25" t="str">
        <f>IFERROR(VLOOKUP(B2,WCAGLookup,3,FALSE),"")</f>
        <v>Provide text alternatives for non-text content</v>
      </c>
      <c r="E2" s="27" t="str">
        <f>IFERROR(VLOOKUP(B2,WCAGLookup,4,FALSE),"")</f>
        <v>https://www.w3.org/WAI/WCAG22/Understanding/non-text-content</v>
      </c>
      <c r="F2" s="10" t="s">
        <v>62</v>
      </c>
      <c r="G2" s="21" t="str">
        <f>IFERROR(VLOOKUP(F2,WCAGLookup,2,FALSE),"")</f>
        <v>A</v>
      </c>
      <c r="H2" s="25" t="str">
        <f>IFERROR(VLOOKUP(F2,WCAGLookup,3,FALSE),"")</f>
        <v>Build all elements for accessibility</v>
      </c>
      <c r="I2" s="27" t="str">
        <f>IFERROR(VLOOKUP(F2,WCAGLookup,4,FALSE),"")</f>
        <v>https://www.w3.org/WAI/WCAG22/Understanding/name-role-value</v>
      </c>
      <c r="J2" s="10" t="s">
        <v>69</v>
      </c>
      <c r="K2" s="21" t="str">
        <f>IFERROR(VLOOKUP(J2,WCAGLookup,2,FALSE),"")</f>
        <v>Auto</v>
      </c>
      <c r="L2" s="25" t="str">
        <f>IFERROR(VLOOKUP(J2,WCAGLookup,3,FALSE),"")</f>
        <v>Issue found in automated scan and must be addressed. All errors must be fixed. Warnings, if not critical to access can be dismissed, but it is considered good form to address them when possible.</v>
      </c>
      <c r="M2" s="27" t="str">
        <f>IFERROR(VLOOKUP(J2,WCAGLookup,4,FALSE),"")</f>
        <v>https://radancy.dev/a11y/#axe</v>
      </c>
      <c r="N2" s="35" t="s">
        <v>76</v>
      </c>
      <c r="O2" s="36" t="s">
        <v>83</v>
      </c>
      <c r="P2" s="36"/>
      <c r="Q2" s="36" t="s">
        <v>84</v>
      </c>
      <c r="R2" s="38"/>
      <c r="S2" s="35" t="s">
        <v>89</v>
      </c>
      <c r="T2" s="47"/>
      <c r="U2" s="49"/>
      <c r="V2" s="51"/>
      <c r="W2" s="54" t="s">
        <v>36</v>
      </c>
      <c r="X2" s="56" t="s">
        <v>34</v>
      </c>
      <c r="Y2" s="47" t="s">
        <v>111</v>
      </c>
      <c r="Z2" s="47" t="s">
        <v>115</v>
      </c>
      <c r="AA2" s="51"/>
      <c r="AB2" s="47"/>
      <c r="AC2" s="60" t="s">
        <v>125</v>
      </c>
      <c r="AD2" s="49"/>
      <c r="AE2" s="49"/>
      <c r="AF2" s="61">
        <v>1.25</v>
      </c>
    </row>
    <row r="3">
      <c r="A3" s="7" t="s">
        <v>129</v>
      </c>
      <c r="B3" s="10" t="s">
        <v>85</v>
      </c>
      <c r="C3" s="21" t="str">
        <f>IFERROR(VLOOKUP(B3,WCAGLookup,2,FALSE),"")</f>
        <v>A</v>
      </c>
      <c r="D3" s="25" t="str">
        <f>IFERROR(VLOOKUP(B3,WCAGLookup,3,FALSE),"")</f>
        <v>Accessible by keyboard only</v>
      </c>
      <c r="E3" s="27" t="str">
        <f>IFERROR(VLOOKUP(B3,WCAGLookup,4,FALSE),"")</f>
        <v>https://www.w3.org/WAI/WCAG22/Understanding/keyboard</v>
      </c>
      <c r="F3" s="10" t="s">
        <v>142</v>
      </c>
      <c r="G3" s="21" t="str">
        <f>IFERROR(VLOOKUP(F3,WCAGLookup,2,FALSE),"")</f>
        <v>AA</v>
      </c>
      <c r="H3" s="25" t="str">
        <f>IFERROR(VLOOKUP(F3,WCAGLookup,3,FALSE),"")</f>
        <v>Use menus consistently</v>
      </c>
      <c r="I3" s="27" t="str">
        <f>IFERROR(VLOOKUP(F3,WCAGLookup,4,FALSE),"")</f>
        <v>https://www.w3.org/WAI/WCAG22/Understanding/consistent-navigation</v>
      </c>
      <c r="J3" s="10" t="s">
        <v>50</v>
      </c>
      <c r="K3" s="21" t="str">
        <f>IFERROR(VLOOKUP(J3,WCAGLookup,2,FALSE),"")</f>
        <v/>
      </c>
      <c r="L3" s="25" t="str">
        <f>IFERROR(VLOOKUP(J3,WCAGLookup,3,FALSE),"")</f>
        <v/>
      </c>
      <c r="M3" s="27" t="str">
        <f>IFERROR(VLOOKUP(J3,WCAGLookup,4,FALSE),"")</f>
        <v/>
      </c>
      <c r="N3" s="67" t="s">
        <v>152</v>
      </c>
      <c r="O3" s="7" t="s">
        <v>155</v>
      </c>
      <c r="P3" s="36"/>
      <c r="Q3" s="7" t="s">
        <v>157</v>
      </c>
      <c r="R3" s="38"/>
      <c r="S3" s="70" t="s">
        <v>158</v>
      </c>
      <c r="T3" s="47"/>
      <c r="U3" s="49"/>
      <c r="V3" s="51"/>
      <c r="W3" s="54" t="s">
        <v>41</v>
      </c>
      <c r="X3" s="54" t="s">
        <v>35</v>
      </c>
      <c r="Y3" s="47" t="s">
        <v>165</v>
      </c>
      <c r="Z3" s="47" t="s">
        <v>169</v>
      </c>
      <c r="AA3" s="51"/>
      <c r="AB3" s="47"/>
      <c r="AC3" s="60" t="s">
        <v>170</v>
      </c>
      <c r="AD3" s="49"/>
      <c r="AE3" s="49"/>
      <c r="AF3" s="61">
        <v>3.0</v>
      </c>
    </row>
  </sheetData>
  <autoFilter ref="$A$1:$AF$3"/>
  <conditionalFormatting sqref="W2:W3">
    <cfRule type="containsText" dxfId="0" priority="1" operator="containsText" text="Critical">
      <formula>NOT(ISERROR(SEARCH(("Critical"),(W2))))</formula>
    </cfRule>
  </conditionalFormatting>
  <conditionalFormatting sqref="W2:W3">
    <cfRule type="containsText" dxfId="1" priority="2" operator="containsText" text="Serious">
      <formula>NOT(ISERROR(SEARCH(("Serious"),(W2))))</formula>
    </cfRule>
  </conditionalFormatting>
  <conditionalFormatting sqref="W2:W3">
    <cfRule type="containsText" dxfId="2" priority="3" operator="containsText" text="Moderate">
      <formula>NOT(ISERROR(SEARCH(("Moderate"),(W2))))</formula>
    </cfRule>
  </conditionalFormatting>
  <conditionalFormatting sqref="W2:W3">
    <cfRule type="containsText" dxfId="3" priority="4" operator="containsText" text="Minor">
      <formula>NOT(ISERROR(SEARCH(("Minor"),(W2))))</formula>
    </cfRule>
  </conditionalFormatting>
  <conditionalFormatting sqref="X2:X3">
    <cfRule type="containsText" dxfId="4" priority="5" operator="containsText" text="Pass">
      <formula>NOT(ISERROR(SEARCH(("Pass"),(X2))))</formula>
    </cfRule>
  </conditionalFormatting>
  <conditionalFormatting sqref="X2:X3">
    <cfRule type="containsText" dxfId="0" priority="6" operator="containsText" text="Fail">
      <formula>NOT(ISERROR(SEARCH(("Fail"),(X2))))</formula>
    </cfRule>
  </conditionalFormatting>
  <conditionalFormatting sqref="T2:T3 Y2:AC3">
    <cfRule type="cellIs" dxfId="5" priority="7" operator="equal">
      <formula>"Fixed in Preview"</formula>
    </cfRule>
  </conditionalFormatting>
  <conditionalFormatting sqref="T2:T3 Y2:AC3">
    <cfRule type="cellIs" dxfId="6" priority="8" operator="equal">
      <formula>"DPM or CSS Confirm"</formula>
    </cfRule>
  </conditionalFormatting>
  <conditionalFormatting sqref="T2:T3 Y2:AC3">
    <cfRule type="cellIs" dxfId="7" priority="9" operator="equal">
      <formula>"Not an Issue"</formula>
    </cfRule>
  </conditionalFormatting>
  <conditionalFormatting sqref="T2:T3 Y2:AC3">
    <cfRule type="cellIs" dxfId="8" priority="10" operator="equal">
      <formula>"Need More Info"</formula>
    </cfRule>
  </conditionalFormatting>
  <conditionalFormatting sqref="T2:T3 Y2:AC3">
    <cfRule type="cellIs" dxfId="9" priority="11" operator="equal">
      <formula>"Please Select"</formula>
    </cfRule>
  </conditionalFormatting>
  <conditionalFormatting sqref="T2:T3 Y2:AC3">
    <cfRule type="cellIs" dxfId="10" priority="12" operator="equal">
      <formula>"Retest When Live"</formula>
    </cfRule>
  </conditionalFormatting>
  <conditionalFormatting sqref="T2:T3 Y2:AC3">
    <cfRule type="cellIs" dxfId="11" priority="13" operator="equal">
      <formula>"Product Issue"</formula>
    </cfRule>
  </conditionalFormatting>
  <conditionalFormatting sqref="T2:T3 Y2:AC3">
    <cfRule type="cellIs" dxfId="12" priority="14" operator="equal">
      <formula>"Unable to Reproduce"</formula>
    </cfRule>
  </conditionalFormatting>
  <conditionalFormatting sqref="T2:T3 Y2:AC3">
    <cfRule type="cellIs" dxfId="12" priority="15" operator="equal">
      <formula>"Work in Progress"</formula>
    </cfRule>
  </conditionalFormatting>
  <conditionalFormatting sqref="T2:T3 Y2:AC3">
    <cfRule type="containsText" dxfId="13" priority="16" operator="containsText" text="Failed in Preview">
      <formula>NOT(ISERROR(SEARCH(("Failed in Preview"),(T2))))</formula>
    </cfRule>
  </conditionalFormatting>
  <dataValidations>
    <dataValidation type="list" allowBlank="1" showErrorMessage="1" sqref="Z2:Z3">
      <formula1>"Easy,Medium,Difficult"</formula1>
    </dataValidation>
    <dataValidation type="list" allowBlank="1" showErrorMessage="1" sqref="AC2:AC3">
      <formula1>"Completed,DPM, CSS, PO Confirm,Duplicate Issue,Failed in Preview,Fixed in Preview,Need More Info,Not an Issue,Partially Fixed,Product Issue,Ready for Production,Retest When Live,Unable to Reproduce/Page Removed,Work in Progress"</formula1>
    </dataValidation>
    <dataValidation type="list" allowBlank="1" showErrorMessage="1" sqref="Y2:Y3">
      <formula1>"Accessibility Support,Client Auditor,CSS Support,Creative Support,Development Support Traffic,Implementation Queue,No Assignment,Product Engineer,Product Owner,Third-Party Auditor,Third-Party Issue (YouTube, ATS, etc.)"</formula1>
    </dataValidation>
    <dataValidation type="list" allowBlank="1" showErrorMessage="1" sqref="W2:W3">
      <formula1>"None,Critical,Serious,Moderate,Minor"</formula1>
    </dataValidation>
    <dataValidation type="list" allowBlank="1" showErrorMessage="1" sqref="AA2:AA3">
      <formula1>"Blocker,Critical,Major,Trivial,S1-Production Critical,S1-NON-Production Critical,S2-High,S3-Medium,S4-Low"</formula1>
    </dataValidation>
    <dataValidation type="list" allowBlank="1" showErrorMessage="1" sqref="X2:X3">
      <formula1>"Please Select,Pass,Fail,NA"</formula1>
    </dataValidation>
    <dataValidation type="list" allowBlank="1" showErrorMessage="1" sqref="T2:T3 AB2:AB3">
      <formula1>"No,Yes"</formula1>
    </dataValidation>
    <dataValidation type="list" allowBlank="1" showInputMessage="1" showErrorMessage="1" prompt="Click and enter a value from range" sqref="B2:B3 F2:F3 J2:J3">
      <formula1>'Lookup WCAG 2.2'!$A$2:$A$93</formula1>
    </dataValidation>
  </dataValidations>
  <hyperlinks>
    <hyperlink r:id="rId1" ref="N2"/>
    <hyperlink r:id="rId2" ref="S2"/>
    <hyperlink r:id="rId3" ref="N3"/>
    <hyperlink r:id="rId4" ref="S3"/>
  </hyperlinks>
  <printOptions/>
  <pageMargins bottom="0.0" footer="0.0" header="0.0" left="0.0" right="0.0" top="0.0"/>
  <pageSetup orientation="landscape"/>
  <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FF"/>
    <outlinePr summaryBelow="0" summaryRight="0"/>
  </sheetPr>
  <sheetViews>
    <sheetView workbookViewId="0"/>
  </sheetViews>
  <sheetFormatPr customHeight="1" defaultColWidth="12.63" defaultRowHeight="15.0"/>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38761D"/>
    <outlinePr summaryBelow="0" summaryRight="0"/>
  </sheetPr>
  <sheetViews>
    <sheetView workbookViewId="0"/>
  </sheetViews>
  <sheetFormatPr customHeight="1" defaultColWidth="12.63" defaultRowHeight="15.0"/>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48.0"/>
    <col customWidth="1" min="2" max="2" width="11.0"/>
    <col customWidth="1" min="3" max="3" width="61.63"/>
    <col customWidth="1" min="4" max="4" width="55.25"/>
  </cols>
  <sheetData>
    <row r="1" ht="41.25" customHeight="1">
      <c r="A1" s="11" t="s">
        <v>38</v>
      </c>
      <c r="B1" s="13" t="s">
        <v>43</v>
      </c>
      <c r="C1" s="13" t="s">
        <v>47</v>
      </c>
      <c r="D1" s="13" t="s">
        <v>49</v>
      </c>
    </row>
    <row r="2" ht="30.75" customHeight="1">
      <c r="A2" s="14" t="s">
        <v>50</v>
      </c>
      <c r="B2" s="16" t="s">
        <v>52</v>
      </c>
      <c r="C2" s="18" t="s">
        <v>52</v>
      </c>
      <c r="D2" s="18" t="s">
        <v>52</v>
      </c>
    </row>
    <row r="3">
      <c r="A3" s="14" t="s">
        <v>37</v>
      </c>
      <c r="B3" s="16" t="s">
        <v>42</v>
      </c>
      <c r="C3" s="18" t="s">
        <v>54</v>
      </c>
      <c r="D3" s="23" t="s">
        <v>55</v>
      </c>
    </row>
    <row r="4">
      <c r="A4" s="14" t="s">
        <v>56</v>
      </c>
      <c r="B4" s="16" t="s">
        <v>42</v>
      </c>
      <c r="C4" s="18" t="s">
        <v>57</v>
      </c>
      <c r="D4" s="23" t="s">
        <v>58</v>
      </c>
    </row>
    <row r="5">
      <c r="A5" s="14" t="s">
        <v>59</v>
      </c>
      <c r="B5" s="16" t="s">
        <v>42</v>
      </c>
      <c r="C5" s="18" t="s">
        <v>60</v>
      </c>
      <c r="D5" s="23" t="s">
        <v>61</v>
      </c>
    </row>
    <row r="6">
      <c r="A6" s="14" t="s">
        <v>63</v>
      </c>
      <c r="B6" s="16" t="s">
        <v>42</v>
      </c>
      <c r="C6" s="18" t="s">
        <v>64</v>
      </c>
      <c r="D6" s="23" t="s">
        <v>65</v>
      </c>
    </row>
    <row r="7">
      <c r="A7" s="14" t="s">
        <v>66</v>
      </c>
      <c r="B7" s="16" t="s">
        <v>42</v>
      </c>
      <c r="C7" s="18" t="s">
        <v>67</v>
      </c>
      <c r="D7" s="32" t="s">
        <v>68</v>
      </c>
    </row>
    <row r="8">
      <c r="A8" s="14" t="s">
        <v>70</v>
      </c>
      <c r="B8" s="16" t="s">
        <v>42</v>
      </c>
      <c r="C8" s="18" t="s">
        <v>71</v>
      </c>
      <c r="D8" s="23" t="s">
        <v>72</v>
      </c>
    </row>
    <row r="9">
      <c r="A9" s="14" t="s">
        <v>73</v>
      </c>
      <c r="B9" s="16" t="s">
        <v>42</v>
      </c>
      <c r="C9" s="18" t="s">
        <v>74</v>
      </c>
      <c r="D9" s="23" t="s">
        <v>75</v>
      </c>
    </row>
    <row r="10">
      <c r="A10" s="14" t="s">
        <v>77</v>
      </c>
      <c r="B10" s="16" t="s">
        <v>42</v>
      </c>
      <c r="C10" s="18" t="s">
        <v>78</v>
      </c>
      <c r="D10" s="23" t="s">
        <v>79</v>
      </c>
    </row>
    <row r="11">
      <c r="A11" s="14" t="s">
        <v>80</v>
      </c>
      <c r="B11" s="16" t="s">
        <v>42</v>
      </c>
      <c r="C11" s="18" t="s">
        <v>81</v>
      </c>
      <c r="D11" s="23" t="s">
        <v>82</v>
      </c>
    </row>
    <row r="12">
      <c r="A12" s="14" t="s">
        <v>85</v>
      </c>
      <c r="B12" s="16" t="s">
        <v>42</v>
      </c>
      <c r="C12" s="18" t="s">
        <v>86</v>
      </c>
      <c r="D12" s="23" t="s">
        <v>87</v>
      </c>
    </row>
    <row r="13">
      <c r="A13" s="14" t="s">
        <v>91</v>
      </c>
      <c r="B13" s="16" t="s">
        <v>42</v>
      </c>
      <c r="C13" s="18" t="s">
        <v>93</v>
      </c>
      <c r="D13" s="23" t="s">
        <v>94</v>
      </c>
    </row>
    <row r="14">
      <c r="A14" s="45" t="s">
        <v>96</v>
      </c>
      <c r="B14" s="16" t="s">
        <v>42</v>
      </c>
      <c r="C14" s="46" t="s">
        <v>97</v>
      </c>
      <c r="D14" s="50" t="s">
        <v>98</v>
      </c>
    </row>
    <row r="15">
      <c r="A15" s="14" t="s">
        <v>101</v>
      </c>
      <c r="B15" s="16" t="s">
        <v>42</v>
      </c>
      <c r="C15" s="18" t="s">
        <v>102</v>
      </c>
      <c r="D15" s="23" t="s">
        <v>103</v>
      </c>
    </row>
    <row r="16">
      <c r="A16" s="14" t="s">
        <v>105</v>
      </c>
      <c r="B16" s="16" t="s">
        <v>42</v>
      </c>
      <c r="C16" s="18" t="s">
        <v>106</v>
      </c>
      <c r="D16" s="23" t="s">
        <v>107</v>
      </c>
    </row>
    <row r="17">
      <c r="A17" s="14" t="s">
        <v>108</v>
      </c>
      <c r="B17" s="16" t="s">
        <v>42</v>
      </c>
      <c r="C17" s="18" t="s">
        <v>109</v>
      </c>
      <c r="D17" s="23" t="s">
        <v>110</v>
      </c>
    </row>
    <row r="18">
      <c r="A18" s="14" t="s">
        <v>112</v>
      </c>
      <c r="B18" s="16" t="s">
        <v>42</v>
      </c>
      <c r="C18" s="18" t="s">
        <v>113</v>
      </c>
      <c r="D18" s="23" t="s">
        <v>114</v>
      </c>
    </row>
    <row r="19">
      <c r="A19" s="14" t="s">
        <v>116</v>
      </c>
      <c r="B19" s="16" t="s">
        <v>42</v>
      </c>
      <c r="C19" s="18" t="s">
        <v>117</v>
      </c>
      <c r="D19" s="23" t="s">
        <v>118</v>
      </c>
    </row>
    <row r="20">
      <c r="A20" s="14" t="s">
        <v>119</v>
      </c>
      <c r="B20" s="16" t="s">
        <v>42</v>
      </c>
      <c r="C20" s="18" t="s">
        <v>120</v>
      </c>
      <c r="D20" s="23" t="s">
        <v>121</v>
      </c>
    </row>
    <row r="21" ht="15.75" customHeight="1">
      <c r="A21" s="14" t="s">
        <v>122</v>
      </c>
      <c r="B21" s="16" t="s">
        <v>42</v>
      </c>
      <c r="C21" s="18" t="s">
        <v>123</v>
      </c>
      <c r="D21" s="23" t="s">
        <v>124</v>
      </c>
    </row>
    <row r="22" ht="15.75" customHeight="1">
      <c r="A22" s="45" t="s">
        <v>126</v>
      </c>
      <c r="B22" s="16" t="s">
        <v>42</v>
      </c>
      <c r="C22" s="46" t="s">
        <v>127</v>
      </c>
      <c r="D22" s="50" t="s">
        <v>128</v>
      </c>
    </row>
    <row r="23" ht="15.75" customHeight="1">
      <c r="A23" s="45" t="s">
        <v>130</v>
      </c>
      <c r="B23" s="16" t="s">
        <v>42</v>
      </c>
      <c r="C23" s="46" t="s">
        <v>131</v>
      </c>
      <c r="D23" s="50" t="s">
        <v>132</v>
      </c>
    </row>
    <row r="24" ht="15.75" customHeight="1">
      <c r="A24" s="45" t="s">
        <v>133</v>
      </c>
      <c r="B24" s="16" t="s">
        <v>42</v>
      </c>
      <c r="C24" s="46" t="s">
        <v>134</v>
      </c>
      <c r="D24" s="50" t="s">
        <v>135</v>
      </c>
    </row>
    <row r="25" ht="15.75" customHeight="1">
      <c r="A25" s="45" t="s">
        <v>136</v>
      </c>
      <c r="B25" s="16" t="s">
        <v>42</v>
      </c>
      <c r="C25" s="46" t="s">
        <v>137</v>
      </c>
      <c r="D25" s="50" t="s">
        <v>138</v>
      </c>
    </row>
    <row r="26" ht="15.75" customHeight="1">
      <c r="A26" s="14" t="s">
        <v>139</v>
      </c>
      <c r="B26" s="16" t="s">
        <v>42</v>
      </c>
      <c r="C26" s="18" t="s">
        <v>140</v>
      </c>
      <c r="D26" s="23" t="s">
        <v>141</v>
      </c>
    </row>
    <row r="27" ht="15.75" customHeight="1">
      <c r="A27" s="14" t="s">
        <v>143</v>
      </c>
      <c r="B27" s="16" t="s">
        <v>42</v>
      </c>
      <c r="C27" s="18" t="s">
        <v>144</v>
      </c>
      <c r="D27" s="23" t="s">
        <v>145</v>
      </c>
    </row>
    <row r="28" ht="15.75" customHeight="1">
      <c r="A28" s="14" t="s">
        <v>146</v>
      </c>
      <c r="B28" s="16" t="s">
        <v>42</v>
      </c>
      <c r="C28" s="18" t="s">
        <v>147</v>
      </c>
      <c r="D28" s="23" t="s">
        <v>148</v>
      </c>
    </row>
    <row r="29" ht="15.75" customHeight="1">
      <c r="A29" s="63" t="s">
        <v>149</v>
      </c>
      <c r="B29" s="64" t="s">
        <v>42</v>
      </c>
      <c r="C29" s="65" t="s">
        <v>150</v>
      </c>
      <c r="D29" s="66" t="s">
        <v>151</v>
      </c>
    </row>
    <row r="30" ht="15.75" customHeight="1">
      <c r="A30" s="14" t="s">
        <v>153</v>
      </c>
      <c r="B30" s="64" t="s">
        <v>42</v>
      </c>
      <c r="C30" s="68" t="s">
        <v>154</v>
      </c>
      <c r="D30" s="71" t="s">
        <v>156</v>
      </c>
    </row>
    <row r="31" ht="15.75" customHeight="1">
      <c r="A31" s="14" t="s">
        <v>161</v>
      </c>
      <c r="B31" s="64" t="s">
        <v>42</v>
      </c>
      <c r="C31" s="68" t="s">
        <v>162</v>
      </c>
      <c r="D31" s="71" t="s">
        <v>163</v>
      </c>
    </row>
    <row r="32" ht="15.75" customHeight="1">
      <c r="A32" s="63" t="s">
        <v>166</v>
      </c>
      <c r="B32" s="64" t="s">
        <v>42</v>
      </c>
      <c r="C32" s="65" t="s">
        <v>167</v>
      </c>
      <c r="D32" s="66" t="s">
        <v>168</v>
      </c>
    </row>
    <row r="33" ht="15.75" customHeight="1">
      <c r="A33" s="14" t="s">
        <v>171</v>
      </c>
      <c r="B33" s="16" t="s">
        <v>42</v>
      </c>
      <c r="C33" s="18" t="s">
        <v>172</v>
      </c>
      <c r="D33" s="23" t="s">
        <v>173</v>
      </c>
    </row>
    <row r="34" ht="15.75" customHeight="1">
      <c r="A34" s="14" t="s">
        <v>62</v>
      </c>
      <c r="B34" s="16" t="s">
        <v>42</v>
      </c>
      <c r="C34" s="18" t="s">
        <v>174</v>
      </c>
      <c r="D34" s="23" t="s">
        <v>175</v>
      </c>
    </row>
    <row r="35" ht="15.75" customHeight="1">
      <c r="A35" s="14" t="s">
        <v>176</v>
      </c>
      <c r="B35" s="16" t="s">
        <v>44</v>
      </c>
      <c r="C35" s="18" t="s">
        <v>177</v>
      </c>
      <c r="D35" s="23" t="s">
        <v>178</v>
      </c>
    </row>
    <row r="36" ht="15.75" customHeight="1">
      <c r="A36" s="14" t="s">
        <v>179</v>
      </c>
      <c r="B36" s="16" t="s">
        <v>44</v>
      </c>
      <c r="C36" s="18" t="s">
        <v>180</v>
      </c>
      <c r="D36" s="23" t="s">
        <v>181</v>
      </c>
    </row>
    <row r="37" ht="15.75" customHeight="1">
      <c r="A37" s="14" t="s">
        <v>182</v>
      </c>
      <c r="B37" s="16" t="s">
        <v>44</v>
      </c>
      <c r="C37" s="18" t="s">
        <v>183</v>
      </c>
      <c r="D37" s="23" t="s">
        <v>184</v>
      </c>
    </row>
    <row r="38" ht="15.75" customHeight="1">
      <c r="A38" s="14" t="s">
        <v>185</v>
      </c>
      <c r="B38" s="16" t="s">
        <v>44</v>
      </c>
      <c r="C38" s="18" t="s">
        <v>186</v>
      </c>
      <c r="D38" s="23" t="s">
        <v>187</v>
      </c>
    </row>
    <row r="39" ht="15.75" customHeight="1">
      <c r="A39" s="45" t="s">
        <v>188</v>
      </c>
      <c r="B39" s="16" t="s">
        <v>44</v>
      </c>
      <c r="C39" s="46" t="s">
        <v>189</v>
      </c>
      <c r="D39" s="50" t="s">
        <v>190</v>
      </c>
    </row>
    <row r="40" ht="15.75" customHeight="1">
      <c r="A40" s="45" t="s">
        <v>191</v>
      </c>
      <c r="B40" s="16" t="s">
        <v>44</v>
      </c>
      <c r="C40" s="46" t="s">
        <v>192</v>
      </c>
      <c r="D40" s="50" t="s">
        <v>193</v>
      </c>
    </row>
    <row r="41" ht="15.75" customHeight="1">
      <c r="A41" s="45" t="s">
        <v>194</v>
      </c>
      <c r="B41" s="16" t="s">
        <v>44</v>
      </c>
      <c r="C41" s="46" t="s">
        <v>195</v>
      </c>
      <c r="D41" s="50" t="s">
        <v>196</v>
      </c>
    </row>
    <row r="42" ht="15.75" customHeight="1">
      <c r="A42" s="45" t="s">
        <v>198</v>
      </c>
      <c r="B42" s="16" t="s">
        <v>44</v>
      </c>
      <c r="C42" s="46" t="s">
        <v>199</v>
      </c>
      <c r="D42" s="50" t="s">
        <v>200</v>
      </c>
    </row>
    <row r="43" ht="15.75" customHeight="1">
      <c r="A43" s="14" t="s">
        <v>202</v>
      </c>
      <c r="B43" s="16" t="s">
        <v>44</v>
      </c>
      <c r="C43" s="18" t="s">
        <v>203</v>
      </c>
      <c r="D43" s="23" t="s">
        <v>204</v>
      </c>
    </row>
    <row r="44" ht="15.75" customHeight="1">
      <c r="A44" s="14" t="s">
        <v>205</v>
      </c>
      <c r="B44" s="16" t="s">
        <v>44</v>
      </c>
      <c r="C44" s="18" t="s">
        <v>206</v>
      </c>
      <c r="D44" s="23" t="s">
        <v>207</v>
      </c>
    </row>
    <row r="45" ht="15.75" customHeight="1">
      <c r="A45" s="14" t="s">
        <v>208</v>
      </c>
      <c r="B45" s="16" t="s">
        <v>44</v>
      </c>
      <c r="C45" s="18" t="s">
        <v>209</v>
      </c>
      <c r="D45" s="23" t="s">
        <v>210</v>
      </c>
    </row>
    <row r="46" ht="15.75" customHeight="1">
      <c r="A46" s="79" t="s">
        <v>212</v>
      </c>
      <c r="B46" s="64" t="s">
        <v>44</v>
      </c>
      <c r="C46" s="68" t="s">
        <v>213</v>
      </c>
      <c r="D46" s="71" t="s">
        <v>214</v>
      </c>
    </row>
    <row r="47" ht="15.75" customHeight="1">
      <c r="A47" s="14" t="s">
        <v>215</v>
      </c>
      <c r="B47" s="64" t="s">
        <v>44</v>
      </c>
      <c r="C47" s="68" t="s">
        <v>216</v>
      </c>
      <c r="D47" s="71" t="s">
        <v>217</v>
      </c>
    </row>
    <row r="48" ht="15.75" customHeight="1">
      <c r="A48" s="14" t="s">
        <v>218</v>
      </c>
      <c r="B48" s="64" t="s">
        <v>44</v>
      </c>
      <c r="C48" s="68" t="s">
        <v>219</v>
      </c>
      <c r="D48" s="71" t="s">
        <v>220</v>
      </c>
    </row>
    <row r="49" ht="15.75" customHeight="1">
      <c r="A49" s="14" t="s">
        <v>221</v>
      </c>
      <c r="B49" s="64" t="s">
        <v>44</v>
      </c>
      <c r="C49" s="68" t="s">
        <v>222</v>
      </c>
      <c r="D49" s="71" t="s">
        <v>223</v>
      </c>
    </row>
    <row r="50" ht="15.75" customHeight="1">
      <c r="A50" s="63" t="s">
        <v>224</v>
      </c>
      <c r="B50" s="64" t="s">
        <v>44</v>
      </c>
      <c r="C50" s="65" t="s">
        <v>225</v>
      </c>
      <c r="D50" s="66" t="s">
        <v>226</v>
      </c>
    </row>
    <row r="51" ht="15.75" customHeight="1">
      <c r="A51" s="63" t="s">
        <v>227</v>
      </c>
      <c r="B51" s="64" t="s">
        <v>44</v>
      </c>
      <c r="C51" s="65" t="s">
        <v>228</v>
      </c>
      <c r="D51" s="66" t="s">
        <v>229</v>
      </c>
    </row>
    <row r="52" ht="15.75" customHeight="1">
      <c r="A52" s="14" t="s">
        <v>230</v>
      </c>
      <c r="B52" s="64" t="s">
        <v>44</v>
      </c>
      <c r="C52" s="68" t="s">
        <v>231</v>
      </c>
      <c r="D52" s="71" t="s">
        <v>232</v>
      </c>
    </row>
    <row r="53" ht="15.75" customHeight="1">
      <c r="A53" s="14" t="s">
        <v>142</v>
      </c>
      <c r="B53" s="64" t="s">
        <v>44</v>
      </c>
      <c r="C53" s="68" t="s">
        <v>233</v>
      </c>
      <c r="D53" s="71" t="s">
        <v>234</v>
      </c>
    </row>
    <row r="54" ht="15.75" customHeight="1">
      <c r="A54" s="14" t="s">
        <v>235</v>
      </c>
      <c r="B54" s="64" t="s">
        <v>44</v>
      </c>
      <c r="C54" s="68" t="s">
        <v>236</v>
      </c>
      <c r="D54" s="71" t="s">
        <v>237</v>
      </c>
    </row>
    <row r="55" ht="15.75" customHeight="1">
      <c r="A55" s="14" t="s">
        <v>238</v>
      </c>
      <c r="B55" s="64" t="s">
        <v>44</v>
      </c>
      <c r="C55" s="68" t="s">
        <v>239</v>
      </c>
      <c r="D55" s="71" t="s">
        <v>240</v>
      </c>
    </row>
    <row r="56" ht="15.75" customHeight="1">
      <c r="A56" s="14" t="s">
        <v>241</v>
      </c>
      <c r="B56" s="64" t="s">
        <v>44</v>
      </c>
      <c r="C56" s="68" t="s">
        <v>242</v>
      </c>
      <c r="D56" s="71" t="s">
        <v>243</v>
      </c>
    </row>
    <row r="57" ht="15.75" customHeight="1">
      <c r="A57" s="63" t="s">
        <v>245</v>
      </c>
      <c r="B57" s="64" t="s">
        <v>44</v>
      </c>
      <c r="C57" s="65" t="s">
        <v>246</v>
      </c>
      <c r="D57" s="66" t="s">
        <v>247</v>
      </c>
    </row>
    <row r="58" ht="15.75" customHeight="1">
      <c r="A58" s="14" t="s">
        <v>248</v>
      </c>
      <c r="B58" s="64" t="s">
        <v>44</v>
      </c>
      <c r="C58" s="68" t="s">
        <v>249</v>
      </c>
      <c r="D58" s="71" t="s">
        <v>250</v>
      </c>
    </row>
    <row r="59" ht="15.75" customHeight="1">
      <c r="A59" s="45" t="s">
        <v>251</v>
      </c>
      <c r="B59" s="64" t="s">
        <v>45</v>
      </c>
      <c r="C59" s="65" t="s">
        <v>252</v>
      </c>
      <c r="D59" s="66" t="s">
        <v>253</v>
      </c>
    </row>
    <row r="60" ht="15.75" customHeight="1">
      <c r="A60" s="45" t="s">
        <v>254</v>
      </c>
      <c r="B60" s="64" t="s">
        <v>45</v>
      </c>
      <c r="C60" s="65" t="s">
        <v>255</v>
      </c>
      <c r="D60" s="66" t="s">
        <v>256</v>
      </c>
    </row>
    <row r="61" ht="15.75" customHeight="1">
      <c r="A61" s="45" t="s">
        <v>257</v>
      </c>
      <c r="B61" s="64" t="s">
        <v>45</v>
      </c>
      <c r="C61" s="65" t="s">
        <v>258</v>
      </c>
      <c r="D61" s="66" t="s">
        <v>259</v>
      </c>
    </row>
    <row r="62" ht="15.75" customHeight="1">
      <c r="A62" s="45" t="s">
        <v>260</v>
      </c>
      <c r="B62" s="64" t="s">
        <v>45</v>
      </c>
      <c r="C62" s="65" t="s">
        <v>261</v>
      </c>
      <c r="D62" s="66" t="s">
        <v>262</v>
      </c>
    </row>
    <row r="63" ht="15.75" customHeight="1">
      <c r="A63" s="14" t="s">
        <v>263</v>
      </c>
      <c r="B63" s="64" t="s">
        <v>45</v>
      </c>
      <c r="C63" s="68" t="s">
        <v>264</v>
      </c>
      <c r="D63" s="71" t="s">
        <v>265</v>
      </c>
    </row>
    <row r="64" ht="15.75" customHeight="1">
      <c r="A64" s="45" t="s">
        <v>266</v>
      </c>
      <c r="B64" s="64" t="s">
        <v>45</v>
      </c>
      <c r="C64" s="65" t="s">
        <v>267</v>
      </c>
      <c r="D64" s="66" t="s">
        <v>268</v>
      </c>
    </row>
    <row r="65" ht="15.75" customHeight="1">
      <c r="A65" s="45" t="s">
        <v>269</v>
      </c>
      <c r="B65" s="64" t="s">
        <v>45</v>
      </c>
      <c r="C65" s="65" t="s">
        <v>270</v>
      </c>
      <c r="D65" s="66" t="s">
        <v>271</v>
      </c>
    </row>
    <row r="66" ht="15.75" customHeight="1">
      <c r="A66" s="45" t="s">
        <v>272</v>
      </c>
      <c r="B66" s="64" t="s">
        <v>45</v>
      </c>
      <c r="C66" s="65" t="s">
        <v>273</v>
      </c>
      <c r="D66" s="66" t="s">
        <v>274</v>
      </c>
    </row>
    <row r="67" ht="15.75" customHeight="1">
      <c r="A67" s="45" t="s">
        <v>276</v>
      </c>
      <c r="B67" s="64" t="s">
        <v>45</v>
      </c>
      <c r="C67" s="65" t="s">
        <v>209</v>
      </c>
      <c r="D67" s="66" t="s">
        <v>277</v>
      </c>
    </row>
    <row r="68" ht="15.75" customHeight="1">
      <c r="A68" s="45" t="s">
        <v>278</v>
      </c>
      <c r="B68" s="64" t="s">
        <v>45</v>
      </c>
      <c r="C68" s="65" t="s">
        <v>279</v>
      </c>
      <c r="D68" s="66" t="s">
        <v>280</v>
      </c>
    </row>
    <row r="69" ht="15.75" customHeight="1">
      <c r="A69" s="45" t="s">
        <v>281</v>
      </c>
      <c r="B69" s="64" t="s">
        <v>45</v>
      </c>
      <c r="C69" s="65" t="s">
        <v>282</v>
      </c>
      <c r="D69" s="66" t="s">
        <v>283</v>
      </c>
    </row>
    <row r="70" ht="15.75" customHeight="1">
      <c r="A70" s="45" t="s">
        <v>284</v>
      </c>
      <c r="B70" s="64" t="s">
        <v>45</v>
      </c>
      <c r="C70" s="65" t="s">
        <v>285</v>
      </c>
      <c r="D70" s="66" t="s">
        <v>286</v>
      </c>
    </row>
    <row r="71" ht="15.75" customHeight="1">
      <c r="A71" s="45" t="s">
        <v>287</v>
      </c>
      <c r="B71" s="64" t="s">
        <v>45</v>
      </c>
      <c r="C71" s="65" t="s">
        <v>288</v>
      </c>
      <c r="D71" s="66" t="s">
        <v>289</v>
      </c>
    </row>
    <row r="72" ht="15.75" customHeight="1">
      <c r="A72" s="45" t="s">
        <v>290</v>
      </c>
      <c r="B72" s="64" t="s">
        <v>45</v>
      </c>
      <c r="C72" s="65" t="s">
        <v>291</v>
      </c>
      <c r="D72" s="66" t="s">
        <v>292</v>
      </c>
    </row>
    <row r="73" ht="15.75" customHeight="1">
      <c r="A73" s="45" t="s">
        <v>293</v>
      </c>
      <c r="B73" s="64" t="s">
        <v>45</v>
      </c>
      <c r="C73" s="65" t="s">
        <v>109</v>
      </c>
      <c r="D73" s="66" t="s">
        <v>294</v>
      </c>
    </row>
    <row r="74" ht="15.75" customHeight="1">
      <c r="A74" s="45" t="s">
        <v>295</v>
      </c>
      <c r="B74" s="64" t="s">
        <v>45</v>
      </c>
      <c r="C74" s="65" t="s">
        <v>296</v>
      </c>
      <c r="D74" s="66" t="s">
        <v>298</v>
      </c>
    </row>
    <row r="75" ht="15.75" customHeight="1">
      <c r="A75" s="45" t="s">
        <v>299</v>
      </c>
      <c r="B75" s="64" t="s">
        <v>45</v>
      </c>
      <c r="C75" s="65" t="s">
        <v>300</v>
      </c>
      <c r="D75" s="66" t="s">
        <v>301</v>
      </c>
    </row>
    <row r="76" ht="15.75" customHeight="1">
      <c r="A76" s="79" t="s">
        <v>302</v>
      </c>
      <c r="B76" s="64" t="s">
        <v>45</v>
      </c>
      <c r="C76" s="68" t="s">
        <v>303</v>
      </c>
      <c r="D76" s="71" t="s">
        <v>304</v>
      </c>
    </row>
    <row r="77" ht="15.75" customHeight="1">
      <c r="A77" s="79" t="s">
        <v>305</v>
      </c>
      <c r="B77" s="64" t="s">
        <v>45</v>
      </c>
      <c r="C77" s="68" t="s">
        <v>306</v>
      </c>
      <c r="D77" s="71" t="s">
        <v>307</v>
      </c>
    </row>
    <row r="78" ht="15.75" customHeight="1">
      <c r="A78" s="45" t="s">
        <v>308</v>
      </c>
      <c r="B78" s="64" t="s">
        <v>45</v>
      </c>
      <c r="C78" s="65" t="s">
        <v>309</v>
      </c>
      <c r="D78" s="66" t="s">
        <v>310</v>
      </c>
    </row>
    <row r="79" ht="15.75" customHeight="1">
      <c r="A79" s="45" t="s">
        <v>311</v>
      </c>
      <c r="B79" s="64" t="s">
        <v>45</v>
      </c>
      <c r="C79" s="65" t="s">
        <v>312</v>
      </c>
      <c r="D79" s="66" t="s">
        <v>313</v>
      </c>
    </row>
    <row r="80" ht="15.75" customHeight="1">
      <c r="A80" s="45" t="s">
        <v>314</v>
      </c>
      <c r="B80" s="64" t="s">
        <v>45</v>
      </c>
      <c r="C80" s="65" t="s">
        <v>315</v>
      </c>
      <c r="D80" s="66" t="s">
        <v>316</v>
      </c>
    </row>
    <row r="81" ht="15.75" customHeight="1">
      <c r="A81" s="45" t="s">
        <v>317</v>
      </c>
      <c r="B81" s="64" t="s">
        <v>45</v>
      </c>
      <c r="C81" s="65" t="s">
        <v>318</v>
      </c>
      <c r="D81" s="66" t="s">
        <v>319</v>
      </c>
    </row>
    <row r="82" ht="15.75" customHeight="1">
      <c r="A82" s="45" t="s">
        <v>320</v>
      </c>
      <c r="B82" s="64" t="s">
        <v>45</v>
      </c>
      <c r="C82" s="65" t="s">
        <v>321</v>
      </c>
      <c r="D82" s="66" t="s">
        <v>322</v>
      </c>
    </row>
    <row r="83" ht="15.75" customHeight="1">
      <c r="A83" s="45" t="s">
        <v>324</v>
      </c>
      <c r="B83" s="64" t="s">
        <v>45</v>
      </c>
      <c r="C83" s="65" t="s">
        <v>325</v>
      </c>
      <c r="D83" s="66" t="s">
        <v>326</v>
      </c>
    </row>
    <row r="84" ht="15.75" customHeight="1">
      <c r="A84" s="45" t="s">
        <v>327</v>
      </c>
      <c r="B84" s="64" t="s">
        <v>45</v>
      </c>
      <c r="C84" s="65" t="s">
        <v>328</v>
      </c>
      <c r="D84" s="66" t="s">
        <v>329</v>
      </c>
    </row>
    <row r="85" ht="15.75" customHeight="1">
      <c r="A85" s="45" t="s">
        <v>330</v>
      </c>
      <c r="B85" s="64" t="s">
        <v>45</v>
      </c>
      <c r="C85" s="65" t="s">
        <v>331</v>
      </c>
      <c r="D85" s="66" t="s">
        <v>332</v>
      </c>
    </row>
    <row r="86" ht="15.75" customHeight="1">
      <c r="A86" s="45" t="s">
        <v>333</v>
      </c>
      <c r="B86" s="64" t="s">
        <v>45</v>
      </c>
      <c r="C86" s="65" t="s">
        <v>334</v>
      </c>
      <c r="D86" s="66" t="s">
        <v>335</v>
      </c>
    </row>
    <row r="87" ht="15.75" customHeight="1">
      <c r="A87" s="45" t="s">
        <v>336</v>
      </c>
      <c r="B87" s="64" t="s">
        <v>45</v>
      </c>
      <c r="C87" s="65" t="s">
        <v>337</v>
      </c>
      <c r="D87" s="66" t="s">
        <v>338</v>
      </c>
    </row>
    <row r="88" ht="15.75" customHeight="1">
      <c r="A88" s="45" t="s">
        <v>339</v>
      </c>
      <c r="B88" s="64" t="s">
        <v>45</v>
      </c>
      <c r="C88" s="65" t="s">
        <v>340</v>
      </c>
      <c r="D88" s="66" t="s">
        <v>341</v>
      </c>
    </row>
    <row r="89" ht="15.75" customHeight="1">
      <c r="A89" s="63" t="s">
        <v>342</v>
      </c>
      <c r="B89" s="64" t="s">
        <v>45</v>
      </c>
      <c r="C89" s="65" t="s">
        <v>343</v>
      </c>
      <c r="D89" s="66" t="s">
        <v>344</v>
      </c>
    </row>
    <row r="90" ht="15.75" customHeight="1">
      <c r="A90" s="63" t="s">
        <v>345</v>
      </c>
      <c r="B90" s="64" t="s">
        <v>46</v>
      </c>
      <c r="C90" s="65" t="s">
        <v>346</v>
      </c>
      <c r="D90" s="91" t="s">
        <v>347</v>
      </c>
    </row>
    <row r="91" ht="15.75" customHeight="1">
      <c r="A91" s="63" t="s">
        <v>350</v>
      </c>
      <c r="B91" s="64" t="s">
        <v>48</v>
      </c>
      <c r="C91" s="65" t="s">
        <v>351</v>
      </c>
      <c r="D91" s="94" t="s">
        <v>352</v>
      </c>
    </row>
    <row r="92" ht="15.75" customHeight="1">
      <c r="A92" s="63" t="s">
        <v>69</v>
      </c>
      <c r="B92" s="64" t="s">
        <v>48</v>
      </c>
      <c r="C92" s="65" t="s">
        <v>351</v>
      </c>
      <c r="D92" s="66" t="s">
        <v>354</v>
      </c>
    </row>
    <row r="93" ht="15.75" customHeight="1">
      <c r="A93" s="63" t="s">
        <v>355</v>
      </c>
      <c r="B93" s="64" t="s">
        <v>48</v>
      </c>
      <c r="C93" s="65" t="s">
        <v>351</v>
      </c>
      <c r="D93" s="66" t="s">
        <v>356</v>
      </c>
    </row>
  </sheetData>
  <autoFilter ref="$A$1:$D$93"/>
  <hyperlinks>
    <hyperlink r:id="rId1" ref="D3"/>
    <hyperlink r:id="rId2" ref="D4"/>
    <hyperlink r:id="rId3" ref="D5"/>
    <hyperlink r:id="rId4" ref="D6"/>
    <hyperlink r:id="rId5" ref="D7"/>
    <hyperlink r:id="rId6" ref="D8"/>
    <hyperlink r:id="rId7" ref="D9"/>
    <hyperlink r:id="rId8" ref="D10"/>
    <hyperlink r:id="rId9" ref="D11"/>
    <hyperlink r:id="rId10" ref="D12"/>
    <hyperlink r:id="rId11" ref="D13"/>
    <hyperlink r:id="rId12" ref="D14"/>
    <hyperlink r:id="rId13" ref="D15"/>
    <hyperlink r:id="rId14" ref="D16"/>
    <hyperlink r:id="rId15" ref="D17"/>
    <hyperlink r:id="rId16" ref="D18"/>
    <hyperlink r:id="rId17" ref="D19"/>
    <hyperlink r:id="rId18" ref="D20"/>
    <hyperlink r:id="rId19" ref="D21"/>
    <hyperlink r:id="rId20" ref="D22"/>
    <hyperlink r:id="rId21" ref="D23"/>
    <hyperlink r:id="rId22" ref="D24"/>
    <hyperlink r:id="rId23" ref="D25"/>
    <hyperlink r:id="rId24" ref="D26"/>
    <hyperlink r:id="rId25" ref="D27"/>
    <hyperlink r:id="rId26" ref="D28"/>
    <hyperlink r:id="rId27" ref="D29"/>
    <hyperlink r:id="rId28" ref="D30"/>
    <hyperlink r:id="rId29" ref="D31"/>
    <hyperlink r:id="rId30" ref="D32"/>
    <hyperlink r:id="rId31" ref="D33"/>
    <hyperlink r:id="rId32" ref="D34"/>
    <hyperlink r:id="rId33" ref="D35"/>
    <hyperlink r:id="rId34" ref="D36"/>
    <hyperlink r:id="rId35" ref="D37"/>
    <hyperlink r:id="rId36" ref="D38"/>
    <hyperlink r:id="rId37" ref="D39"/>
    <hyperlink r:id="rId38" ref="D40"/>
    <hyperlink r:id="rId39" ref="D41"/>
    <hyperlink r:id="rId40" ref="D42"/>
    <hyperlink r:id="rId41" ref="D43"/>
    <hyperlink r:id="rId42" ref="D44"/>
    <hyperlink r:id="rId43" ref="D45"/>
    <hyperlink r:id="rId44" ref="D46"/>
    <hyperlink r:id="rId45" ref="D47"/>
    <hyperlink r:id="rId46" ref="D48"/>
    <hyperlink r:id="rId47" ref="D49"/>
    <hyperlink r:id="rId48" ref="D50"/>
    <hyperlink r:id="rId49" ref="D51"/>
    <hyperlink r:id="rId50" ref="D52"/>
    <hyperlink r:id="rId51" ref="D53"/>
    <hyperlink r:id="rId52" ref="D54"/>
    <hyperlink r:id="rId53" ref="D55"/>
    <hyperlink r:id="rId54" ref="D56"/>
    <hyperlink r:id="rId55" ref="D57"/>
    <hyperlink r:id="rId56" ref="D58"/>
    <hyperlink r:id="rId57" ref="D59"/>
    <hyperlink r:id="rId58" ref="D60"/>
    <hyperlink r:id="rId59" ref="D61"/>
    <hyperlink r:id="rId60" ref="D62"/>
    <hyperlink r:id="rId61" ref="D63"/>
    <hyperlink r:id="rId62" ref="D64"/>
    <hyperlink r:id="rId63" ref="D65"/>
    <hyperlink r:id="rId64" ref="D66"/>
    <hyperlink r:id="rId65" ref="D67"/>
    <hyperlink r:id="rId66" ref="D68"/>
    <hyperlink r:id="rId67" ref="D69"/>
    <hyperlink r:id="rId68" ref="D70"/>
    <hyperlink r:id="rId69" ref="D71"/>
    <hyperlink r:id="rId70" ref="D72"/>
    <hyperlink r:id="rId71" ref="D73"/>
    <hyperlink r:id="rId72" ref="D74"/>
    <hyperlink r:id="rId73" ref="D75"/>
    <hyperlink r:id="rId74" ref="D76"/>
    <hyperlink r:id="rId75" ref="D77"/>
    <hyperlink r:id="rId76" ref="D78"/>
    <hyperlink r:id="rId77" ref="D79"/>
    <hyperlink r:id="rId78" ref="D80"/>
    <hyperlink r:id="rId79" ref="D81"/>
    <hyperlink r:id="rId80" ref="D82"/>
    <hyperlink r:id="rId81" ref="D83"/>
    <hyperlink r:id="rId82" ref="D84"/>
    <hyperlink r:id="rId83" ref="D85"/>
    <hyperlink r:id="rId84" ref="D86"/>
    <hyperlink r:id="rId85" ref="D87"/>
    <hyperlink r:id="rId86" ref="D88"/>
    <hyperlink r:id="rId87" ref="D89"/>
    <hyperlink r:id="rId88" ref="D90"/>
    <hyperlink r:id="rId89" location="wave" ref="D91"/>
    <hyperlink r:id="rId90" location="axe" ref="D92"/>
    <hyperlink r:id="rId91" location="w3c" ref="D93"/>
  </hyperlinks>
  <printOptions/>
  <pageMargins bottom="0.0" footer="0.0" header="0.0" left="0.0" right="0.0" top="0.0"/>
  <pageSetup orientation="landscape"/>
  <drawing r:id="rId92"/>
</worksheet>
</file>